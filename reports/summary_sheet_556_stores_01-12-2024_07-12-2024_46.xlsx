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Zomato POS vs 3PO" sheetId="2" state="visible" r:id="rId2"/>
    <sheet name="Zomato 3PO vs POS" sheetId="3" state="visible" r:id="rId3"/>
    <sheet name="Zomato 3PO vs POS Refund" sheetId="4" state="visible" r:id="rId4"/>
    <sheet name="Order not found in POS" sheetId="5" state="visible" r:id="rId5"/>
    <sheet name="Order not found in 3P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Debtor Name</t>
        </is>
      </c>
      <c r="B1" t="inlineStr">
        <is>
          <t>Zomato</t>
        </is>
      </c>
    </row>
    <row r="2">
      <c r="A2" s="1" t="inlineStr">
        <is>
          <t>Recon Period</t>
        </is>
      </c>
      <c r="B2" t="inlineStr">
        <is>
          <t>Dec 01, 2024 - Dec 07, 2024</t>
        </is>
      </c>
    </row>
    <row r="3">
      <c r="B3" s="1" t="inlineStr">
        <is>
          <t>No. of orders</t>
        </is>
      </c>
      <c r="C3" s="1" t="inlineStr">
        <is>
          <t>POS Amount</t>
        </is>
      </c>
    </row>
    <row r="4">
      <c r="A4" s="1" t="inlineStr">
        <is>
          <t>POS Sale as per Business Date (S1+S2)</t>
        </is>
      </c>
      <c r="B4">
        <f>COUNTA('Zomato POS vs 3PO'!A2:A1048576)</f>
        <v/>
      </c>
      <c r="C4">
        <f>SUM('Zomato POS vs 3PO'!E2:E1048576)</f>
        <v/>
      </c>
    </row>
    <row r="5">
      <c r="A5" s="1" t="inlineStr">
        <is>
          <t>POS Sale as per Transaction Date (S1)</t>
        </is>
      </c>
      <c r="B5">
        <f>COUNTA('Zomato POS vs 3PO'!A2:A1048576)</f>
        <v/>
      </c>
      <c r="C5">
        <f>SUM('Zomato POS vs 3PO'!E2:E1048576)</f>
        <v/>
      </c>
    </row>
    <row r="6">
      <c r="A6" s="1" t="inlineStr">
        <is>
          <t>Difference in POS Sale that falls in subsequent time period (S2)</t>
        </is>
      </c>
      <c r="B6">
        <f>B4-B5</f>
        <v/>
      </c>
      <c r="C6">
        <f>C4-C5</f>
        <v/>
      </c>
    </row>
    <row r="8">
      <c r="A8" s="2" t="inlineStr">
        <is>
          <t>POS Sale as per Business Date (S1+S2)</t>
        </is>
      </c>
      <c r="B8" s="3" t="inlineStr">
        <is>
          <t>As per POS data (POS vs 3PO)</t>
        </is>
      </c>
      <c r="G8" s="3" t="inlineStr">
        <is>
          <t>As per 3PO Data (3PO vs POS)</t>
        </is>
      </c>
    </row>
    <row r="9">
      <c r="A9" s="2" t="inlineStr">
        <is>
          <t>Parameters</t>
        </is>
      </c>
      <c r="B9" s="2" t="inlineStr">
        <is>
          <t>No. of orders</t>
        </is>
      </c>
      <c r="C9" s="2" t="inlineStr">
        <is>
          <t>POS Amount/Calculated</t>
        </is>
      </c>
      <c r="D9" s="2" t="inlineStr">
        <is>
          <t>3PO Amount/Actual</t>
        </is>
      </c>
      <c r="E9" s="2" t="inlineStr">
        <is>
          <t>Diff. in Amount</t>
        </is>
      </c>
      <c r="F9" s="2" t="inlineStr">
        <is>
          <t>Amount Receivable</t>
        </is>
      </c>
      <c r="G9" s="2" t="inlineStr">
        <is>
          <t>No. of orders</t>
        </is>
      </c>
      <c r="H9" s="2" t="inlineStr">
        <is>
          <t>3PO Amount/Actual</t>
        </is>
      </c>
      <c r="I9" s="2" t="inlineStr">
        <is>
          <t>POS Amount/Calculated</t>
        </is>
      </c>
      <c r="J9" s="2" t="inlineStr">
        <is>
          <t>Diff. in Amount</t>
        </is>
      </c>
      <c r="K9" s="2" t="inlineStr">
        <is>
          <t>Amount Receivable</t>
        </is>
      </c>
    </row>
    <row r="10">
      <c r="A10" s="2" t="inlineStr">
        <is>
          <t>DELIVERED (As per transaction date)</t>
        </is>
      </c>
      <c r="B10" s="2">
        <f>COUNTA('Zomato POS vs 3PO'!A2:A1048576)</f>
        <v/>
      </c>
      <c r="C10" s="2">
        <f>SUM('Zomato POS vs 3PO'!E2:E1048576)</f>
        <v/>
      </c>
      <c r="D10" s="2">
        <f>SUM('Zomato POS vs 3PO'!F2:F1048576)</f>
        <v/>
      </c>
      <c r="E10" s="2">
        <f>C10-D10</f>
        <v/>
      </c>
      <c r="F10" s="2">
        <f>SUM('Zomato POS vs 3PO'!Z2:Z1048576)</f>
        <v/>
      </c>
      <c r="G10" s="2">
        <f>COUNTA('Zomato 3PO vs POS'!A2:A1048576)</f>
        <v/>
      </c>
      <c r="H10" s="2">
        <f>SUM('Zomato 3PO vs POS'!E2:E1048576)</f>
        <v/>
      </c>
      <c r="I10" s="2">
        <f>SUM('Zomato 3PO vs POS'!F2:F1048576)</f>
        <v/>
      </c>
      <c r="J10" s="2">
        <f>H10-I10</f>
        <v/>
      </c>
      <c r="K10" s="2">
        <f>SUM('Zomato 3PO vs POS'!Z2:Z1048576)</f>
        <v/>
      </c>
    </row>
    <row r="11">
      <c r="A11" s="4" t="inlineStr">
        <is>
          <t>SALE</t>
        </is>
      </c>
      <c r="B11" s="5" t="n"/>
      <c r="C11" s="5" t="n"/>
      <c r="D11" s="5" t="n"/>
      <c r="E11" s="5" t="n"/>
      <c r="F11" s="5" t="n"/>
      <c r="G11" s="5">
        <f>COUNTIFS('Zomato 3PO vs POS'!A2:A1048576,"&lt;&gt;",'Zomato 3PO vs POS'!AY2:AY1048576,"sale")</f>
        <v/>
      </c>
      <c r="H11" s="5">
        <f>SUMIFS('Zomato 3PO vs POS'!E2:E1048576,'Zomato 3PO vs POS'!E2:E1048576,"&lt;&gt;",'Zomato 3PO vs POS'!AY2:AY1048576,"sale")</f>
        <v/>
      </c>
      <c r="I11" s="5">
        <f>SUMIFS('Zomato 3PO vs POS'!F2:F1048576,'Zomato 3PO vs POS'!F2:F1048576,"&lt;&gt;",'Zomato 3PO vs POS'!AY2:AY1048576,"sale")</f>
        <v/>
      </c>
      <c r="J11" s="5">
        <f>H11-I11</f>
        <v/>
      </c>
      <c r="K11" s="5">
        <f>SUMIFS('Zomato 3PO vs POS'!Z2:Z1048576,'Zomato 3PO vs POS'!Z2:Z1048576,"&lt;&gt;",'Zomato 3PO vs POS'!AY2:AY1048576,"sale")</f>
        <v/>
      </c>
    </row>
    <row r="12">
      <c r="A12" s="4" t="inlineStr">
        <is>
          <t>ADDITION</t>
        </is>
      </c>
      <c r="B12" s="5" t="n"/>
      <c r="C12" s="5" t="n"/>
      <c r="D12" s="5" t="n"/>
      <c r="E12" s="5" t="n"/>
      <c r="F12" s="5" t="n"/>
      <c r="G12" s="5">
        <f>COUNTIFS('Zomato 3PO vs POS'!A2:A1048576,"&lt;&gt;",'Zomato 3PO vs POS'!AY2:AY1048576,"addition")</f>
        <v/>
      </c>
      <c r="H12" s="5">
        <f>SUMIFS('Zomato 3PO vs POS'!E2:E1048576,'Zomato 3PO vs POS'!E2:E1048576,"&lt;&gt;",'Zomato 3PO vs POS'!AY2:AY1048576,"addition")</f>
        <v/>
      </c>
      <c r="I12" s="5">
        <f>SUMIFS('Zomato 3PO vs POS'!F2:F1048576,'Zomato 3PO vs POS'!F2:F1048576,"&lt;&gt;",'Zomato 3PO vs POS'!AY2:AY1048576,"addition")</f>
        <v/>
      </c>
      <c r="J12" s="5">
        <f>H12-I12</f>
        <v/>
      </c>
      <c r="K12" s="5">
        <f>SUMIFS('Zomato 3PO vs POS'!Z2:Z1048576,'Zomato 3PO vs POS'!Z2:Z1048576,"&lt;&gt;",'Zomato 3PO vs POS'!AY2:AY1048576,"addition")</f>
        <v/>
      </c>
    </row>
    <row r="13">
      <c r="A13" s="4" t="inlineStr">
        <is>
          <t>REFUND</t>
        </is>
      </c>
      <c r="B13" s="5" t="n"/>
      <c r="C13" s="5" t="n"/>
      <c r="D13" s="5" t="n"/>
      <c r="E13" s="5" t="n"/>
      <c r="F13" s="5" t="n"/>
      <c r="G13" s="5">
        <f>COUNTIFS('Zomato 3PO vs POS Refund'!A2:A1048576,"&lt;&gt;",'Zomato 3PO vs POS Refund'!AY2:AY1048576,"refund")</f>
        <v/>
      </c>
      <c r="H13" s="5">
        <f>SUMIFS('Zomato 3PO vs POS Refund'!E2:E1048576,'Zomato 3PO vs POS Refund'!E2:E1048576,"&lt;&gt;",'Zomato 3PO vs POS Refund'!AY2:AY1048576,"refund")</f>
        <v/>
      </c>
      <c r="I13" s="5">
        <f>SUMIFS('Zomato 3PO vs POS Refund'!F2:F1048576,'Zomato 3PO vs POS Refund'!F2:F1048576,"&lt;&gt;",'Zomato 3PO vs POS Refund'!AY2:AY1048576,"refund")</f>
        <v/>
      </c>
      <c r="J13" s="5">
        <f>H13-I13</f>
        <v/>
      </c>
      <c r="K13" s="5">
        <f>SUMIFS('Zomato 3PO vs POS Refund'!Z2:Z1048576,'Zomato 3PO vs POS Refund'!Z2:Z1048576,"&lt;&gt;",'Zomato 3PO vs POS Refund'!AY2:AY1048576,"refund")</f>
        <v/>
      </c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</row>
    <row r="15">
      <c r="A15" s="2" t="inlineStr">
        <is>
          <t>Reconciled Orders</t>
        </is>
      </c>
      <c r="B15" s="2">
        <f>COUNTIF('Zomato POS vs 3PO'!AC2:AC1048576,"RECONCILED")</f>
        <v/>
      </c>
      <c r="C15" s="2">
        <f>SUMIFS('Zomato POS vs 3PO'!E2:E1048576,'Zomato POS vs 3PO'!E2:E1048576,"&lt;&gt;",'Zomato POS vs 3PO'!AC2:AC1048576,"RECONCILED")</f>
        <v/>
      </c>
      <c r="D15" s="2">
        <f>SUMIFS('Zomato POS vs 3PO'!F2:F1048576,'Zomato POS vs 3PO'!F2:F1048576,"&lt;&gt;",'Zomato POS vs 3PO'!AC2:AC1048576,"RECONCILED")</f>
        <v/>
      </c>
      <c r="E15" s="2">
        <f>C15-D15</f>
        <v/>
      </c>
      <c r="F15" s="2">
        <f>SUMIFS('Zomato POS vs 3PO'!Z2:Z1048576,'Zomato POS vs 3PO'!Z2:Z1048576,"&lt;&gt;",'Zomato POS vs 3PO'!AC2:AC1048576,"RECONCILED")</f>
        <v/>
      </c>
      <c r="G15" s="2">
        <f>COUNTIF('Zomato 3PO vs POS'!AU2:AU1048576,"RECONCILED")</f>
        <v/>
      </c>
      <c r="H15" s="2">
        <f>SUMIFS('Zomato 3PO vs POS'!E2:E1048576,'Zomato 3PO vs POS'!E2:E1048576,"&lt;&gt;",'Zomato 3PO vs POS'!AU2:AU1048576,"RECONCILED")</f>
        <v/>
      </c>
      <c r="I15" s="2">
        <f>SUMIFS('Zomato 3PO vs POS'!F2:F1048576,'Zomato 3PO vs POS'!F2:F1048576,"&lt;&gt;",'Zomato 3PO vs POS'!AU2:AU1048576,"RECONCILED")</f>
        <v/>
      </c>
      <c r="J15" s="2">
        <f>H15-I15</f>
        <v/>
      </c>
      <c r="K15" s="2">
        <f>SUMIFS('Zomato 3PO vs POS'!Z2:Z1048576,'Zomato 3PO vs POS'!Z2:Z1048576,"&lt;&gt;",'Zomato 3PO vs POS'!AU2:AU1048576,"RECONCILED")</f>
        <v/>
      </c>
    </row>
    <row r="16">
      <c r="A16" s="4" t="inlineStr">
        <is>
          <t>Cancelled by Merchant and found in POS</t>
        </is>
      </c>
      <c r="B16" s="5" t="n">
        <v>0</v>
      </c>
      <c r="C16" s="5" t="n">
        <v>0</v>
      </c>
      <c r="D16" s="5" t="n">
        <v>0</v>
      </c>
      <c r="E16" s="5" t="n">
        <v>0</v>
      </c>
      <c r="F16" s="5" t="n">
        <v>0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</row>
    <row r="17">
      <c r="A17" s="4" t="inlineStr">
        <is>
          <t>Cancelled by Merchant and not found in POS</t>
        </is>
      </c>
      <c r="B17" s="5" t="n">
        <v>0</v>
      </c>
      <c r="C17" s="5" t="n">
        <v>0</v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</row>
    <row r="18">
      <c r="A18" s="2" t="inlineStr">
        <is>
          <t>Unreconciled Orders</t>
        </is>
      </c>
      <c r="B18" s="2">
        <f>COUNTIF('Zomato POS vs 3PO'!AC2:AC1048576,"UNRECONCILED")</f>
        <v/>
      </c>
      <c r="C18" s="2">
        <f>SUMIFS('Zomato POS vs 3PO'!E2:E1048576,'Zomato POS vs 3PO'!E2:E1048576,"&lt;&gt;",'Zomato POS vs 3PO'!AC2:AC1048576,"UNRECONCILED")</f>
        <v/>
      </c>
      <c r="D18" s="2">
        <f>SUMIFS('Zomato POS vs 3PO'!F2:F1048576,'Zomato POS vs 3PO'!F2:F1048576,"&lt;&gt;",'Zomato POS vs 3PO'!AC2:AC1048576,"UNRECONCILED")</f>
        <v/>
      </c>
      <c r="E18" s="2">
        <f>C18-D18</f>
        <v/>
      </c>
      <c r="F18" s="2">
        <f>SUMIFS('Zomato POS vs 3PO'!Z2:Z1048576,'Zomato POS vs 3PO'!Z2:Z1048576,"&lt;&gt;",'Zomato POS vs 3PO'!AC2:AC1048576,"UNRECONCILED")</f>
        <v/>
      </c>
      <c r="G18" s="2">
        <f>COUNTIF('Zomato 3PO vs POS'!AU2:AU1048576,"UNRECONCILED")</f>
        <v/>
      </c>
      <c r="H18" s="2">
        <f>SUMIFS('Zomato 3PO vs POS'!E2:E1048576,'Zomato 3PO vs POS'!E2:E1048576,"&lt;&gt;",'Zomato 3PO vs POS'!AU2:AU1048576,"UNRECONCILED")</f>
        <v/>
      </c>
      <c r="I18" s="2">
        <f>SUMIFS('Zomato 3PO vs POS'!F2:F1048576,'Zomato 3PO vs POS'!F2:F1048576,"&lt;&gt;",'Zomato 3PO vs POS'!AU2:AU1048576,"UNRECONCILED")</f>
        <v/>
      </c>
      <c r="J18" s="2">
        <f>H18-I18</f>
        <v/>
      </c>
      <c r="K18" s="2">
        <f>SUMIFS('Zomato 3PO vs POS'!Z2:Z1048576,'Zomato 3PO vs POS'!Z2:Z1048576,"&lt;&gt;",'Zomato 3PO vs POS'!AU2:AU1048576,"UNRECONCILED")</f>
        <v/>
      </c>
    </row>
    <row r="19">
      <c r="A19" s="4" t="inlineStr">
        <is>
          <t>Order Not found in 3PO/POS</t>
        </is>
      </c>
      <c r="B19" s="5">
        <f>COUNTIFS('Zomato POS vs 3PO'!AC2:AC1048576,"UNRECONCILED",'Zomato POS vs 3PO'!B2:B1048576,"")</f>
        <v/>
      </c>
      <c r="C19" s="5">
        <f>SUMIFS('Zomato POS vs 3PO'!E2:E1048576,'Zomato POS vs 3PO'!E2:E1048576,"&lt;&gt;",'Zomato POS vs 3PO'!AC2:AC1048576,"UNRECONCILED",'Zomato POS vs 3PO'!B2:B1048576,"")</f>
        <v/>
      </c>
      <c r="D19" s="5">
        <f>SUMIFS('Zomato POS vs 3PO'!F2:F1048576,'Zomato POS vs 3PO'!F2:F1048576,"&lt;&gt;",'Zomato POS vs 3PO'!AC2:AC1048576,"UNRECONCILED",'Zomato POS vs 3PO'!B2:B1048576,"")</f>
        <v/>
      </c>
      <c r="E19" s="5">
        <f>C19-D19</f>
        <v/>
      </c>
      <c r="F19" s="5">
        <f>SUMIFS('Zomato POS vs 3PO'!Z2:Z1048576,'Zomato POS vs 3PO'!Z2:Z1048576,"&lt;&gt;",'Zomato POS vs 3PO'!AC2:AC1048576,"UNRECONCILED",'Zomato POS vs 3PO'!B2:B1048576,"")</f>
        <v/>
      </c>
      <c r="G19" s="5">
        <f>COUNTIFS('Zomato 3PO vs POS'!AU2:AU1048576,"UNRECONCILED",'Zomato 3PO vs POS'!B2:B1048576,"")</f>
        <v/>
      </c>
      <c r="H19" s="5">
        <f>SUMIFS('Zomato 3PO vs POS'!E2:E1048576,'Zomato 3PO vs POS'!E2:E1048576,"&lt;&gt;",'Zomato 3PO vs POS'!AU2:AU1048576,"UNRECONCILED",'Zomato 3PO vs POS'!B2:B1048576,"")</f>
        <v/>
      </c>
      <c r="I19" s="5">
        <f>SUMIFS('Zomato 3PO vs POS'!F2:F1048576,'Zomato 3PO vs POS'!F2:F1048576,"&lt;&gt;",'Zomato 3PO vs POS'!AU2:AU1048576,"UNRECONCILED",'Zomato 3PO vs POS'!B2:B1048576,"")</f>
        <v/>
      </c>
      <c r="J19" s="5">
        <f>H19-I19</f>
        <v/>
      </c>
      <c r="K19" s="5">
        <f>SUMIFS('Zomato 3PO vs POS'!Z2:Z1048576,'Zomato 3PO vs POS'!Z2:Z1048576,"&lt;&gt;",'Zomato 3PO vs POS'!AU2:AU1048576,"UNRECONCILED",'Zomato 3PO vs POS'!B2:B1048576,"")</f>
        <v/>
      </c>
    </row>
    <row r="20">
      <c r="A20" s="4" t="inlineStr">
        <is>
          <t>Net Amount mismatch</t>
        </is>
      </c>
      <c r="B20" s="5">
        <f>COUNTIFS('Zomato POS vs 3PO'!AC2:AC1048576,"UNRECONCILED",'Zomato POS vs 3PO'!AF2:AF1048576,"NET_AMOUNT_ZOMATO_POS_MISMATCH")</f>
        <v/>
      </c>
      <c r="C20" s="5">
        <f>SUMIFS('Zomato POS vs 3PO'!E2:E1048576,'Zomato POS vs 3PO'!E2:E1048576,"&lt;&gt;",'Zomato POS vs 3PO'!AC2:AC1048576,"UNRECONCILED",'Zomato POS vs 3PO'!AF2:AF1048576,"NET_AMOUNT_ZOMATO_POS_MISMATCH")</f>
        <v/>
      </c>
      <c r="D20" s="5">
        <f>SUMIFS('Zomato POS vs 3PO'!F2:F1048576,'Zomato POS vs 3PO'!F2:F1048576,"&lt;&gt;",'Zomato POS vs 3PO'!AC2:AC1048576,"UNRECONCILED",'Zomato POS vs 3PO'!AF2:AF1048576,"NET_AMOUNT_ZOMATO_POS_MISMATCH")</f>
        <v/>
      </c>
      <c r="E20" s="5">
        <f>C20-D20</f>
        <v/>
      </c>
      <c r="F20" s="5">
        <f>SUMIFS('Zomato POS vs 3PO'!Z2:Z1048576,'Zomato POS vs 3PO'!Z2:Z1048576,"&lt;&gt;",'Zomato POS vs 3PO'!AC2:AC1048576,"UNRECONCILED",'Zomato POS vs 3PO'!AF2:AF1048576,"NET_AMOUNT_ZOMATO_POS_MISMATCH")</f>
        <v/>
      </c>
      <c r="G20" s="5">
        <f>COUNTIFS('Zomato 3PO vs POS'!AU2:AU1048576,"UNRECONCILED",'Zomato 3PO vs POS'!AX2:AX1048576,"NET_AMOUNT_ZOMATO_POS_MISMATCH")</f>
        <v/>
      </c>
      <c r="H20" s="5">
        <f>SUMIFS('Zomato 3PO vs POS'!E2:E1048576,'Zomato 3PO vs POS'!E2:E1048576,"&lt;&gt;",'Zomato 3PO vs POS'!AU2:AU1048576,"UNRECONCILED",'Zomato 3PO vs POS'!AX2:AX1048576,"NET_AMOUNT_ZOMATO_POS_MISMATCH")</f>
        <v/>
      </c>
      <c r="I20" s="5">
        <f>SUMIFS('Zomato 3PO vs POS'!F2:F1048576,'Zomato 3PO vs POS'!F2:F1048576,"&lt;&gt;",'Zomato 3PO vs POS'!AU2:AU1048576,"UNRECONCILED",'Zomato 3PO vs POS'!AX2:AX1048576,"NET_AMOUNT_ZOMATO_POS_MISMATCH")</f>
        <v/>
      </c>
      <c r="J20" s="5">
        <f>H20-I20</f>
        <v/>
      </c>
      <c r="K20" s="5">
        <f>SUMIFS('Zomato 3PO vs POS'!Z2:Z1048576,'Zomato 3PO vs POS'!Z2:Z1048576,"&lt;&gt;",'Zomato 3PO vs POS'!AU2:AU1048576,"UNRECONCILED",'Zomato 3PO vs POS'!AX2:AX1048576,"NET_AMOUNT_ZOMATO_POS_MISMATCH")</f>
        <v/>
      </c>
    </row>
    <row r="21">
      <c r="A21" s="4" t="inlineStr">
        <is>
          <t>Tax Paid by Customer mismatch</t>
        </is>
      </c>
      <c r="B21" s="5">
        <f>COUNTIFS('Zomato POS vs 3PO'!AC2:AC1048576,"UNRECONCILED",'Zomato POS vs 3PO'!AF2:AF1048576,"TAX_PAID_BY_CUSTOMER_ZOMATO_POS_MISMATCH")</f>
        <v/>
      </c>
      <c r="C21" s="5">
        <f>SUMIFS('Zomato POS vs 3PO'!E2:E1048576,'Zomato POS vs 3PO'!E2:E1048576,"&lt;&gt;",'Zomato POS vs 3PO'!AC2:AC1048576,"UNRECONCILED",'Zomato POS vs 3PO'!AF2:AF1048576,"TAX_PAID_BY_CUSTOMER_ZOMATO_POS_MISMATCH")</f>
        <v/>
      </c>
      <c r="D21" s="5">
        <f>SUMIFS('Zomato POS vs 3PO'!F2:F1048576,'Zomato POS vs 3PO'!F2:F1048576,"&lt;&gt;",'Zomato POS vs 3PO'!AC2:AC1048576,"UNRECONCILED",'Zomato POS vs 3PO'!AF2:AF1048576,"TAX_PAID_BY_CUSTOMER_ZOMATO_POS_MISMATCH")</f>
        <v/>
      </c>
      <c r="E21" s="5">
        <f>C21-D21</f>
        <v/>
      </c>
      <c r="F21" s="5">
        <f>SUMIFS('Zomato POS vs 3PO'!Z2:Z1048576,'Zomato POS vs 3PO'!Z2:Z1048576,"&lt;&gt;",'Zomato POS vs 3PO'!AC2:AC1048576,"UNRECONCILED",'Zomato POS vs 3PO'!AF2:AF1048576,"TAX_PAID_BY_CUSTOMER_ZOMATO_POS_MISMATCH")</f>
        <v/>
      </c>
      <c r="G21" s="5">
        <f>COUNTIFS('Zomato 3PO vs POS'!AU2:AU1048576,"UNRECONCILED",'Zomato 3PO vs POS'!AX2:AX1048576,"TAX_PAID_BY_CUSTOMER_ZOMATO_POS_MISMATCH")</f>
        <v/>
      </c>
      <c r="H21" s="5">
        <f>SUMIFS('Zomato 3PO vs POS'!E2:E1048576,'Zomato 3PO vs POS'!E2:E1048576,"&lt;&gt;",'Zomato 3PO vs POS'!AU2:AU1048576,"UNRECONCILED",'Zomato 3PO vs POS'!AX2:AX1048576,"TAX_PAID_BY_CUSTOMER_ZOMATO_POS_MISMATCH")</f>
        <v/>
      </c>
      <c r="I21" s="5">
        <f>SUMIFS('Zomato 3PO vs POS'!F2:F1048576,'Zomato 3PO vs POS'!F2:F1048576,"&lt;&gt;",'Zomato 3PO vs POS'!AU2:AU1048576,"UNRECONCILED",'Zomato 3PO vs POS'!AX2:AX1048576,"TAX_PAID_BY_CUSTOMER_ZOMATO_POS_MISMATCH")</f>
        <v/>
      </c>
      <c r="J21" s="5">
        <f>H21-I21</f>
        <v/>
      </c>
      <c r="K21" s="5">
        <f>SUMIFS('Zomato 3PO vs POS'!Z2:Z1048576,'Zomato 3PO vs POS'!Z2:Z1048576,"&lt;&gt;",'Zomato 3PO vs POS'!AU2:AU1048576,"UNRECONCILED",'Zomato 3PO vs POS'!AX2:AX1048576,"TAX_PAID_BY_CUSTOMER_ZOMATO_POS_MISMATCH")</f>
        <v/>
      </c>
    </row>
    <row r="22">
      <c r="A22" s="4" t="inlineStr">
        <is>
          <t>Commission Value mismatch</t>
        </is>
      </c>
      <c r="B22" s="5">
        <f>COUNTIFS('Zomato POS vs 3PO'!AC2:AC1048576,"UNRECONCILED",'Zomato POS vs 3PO'!AF2:AF1048576,"COMMISSION_VALUE_ZOMATO_POS_MISMATCH")</f>
        <v/>
      </c>
      <c r="C22" s="5">
        <f>SUMIFS('Zomato POS vs 3PO'!E2:E1048576,'Zomato POS vs 3PO'!E2:E1048576,"&lt;&gt;",'Zomato POS vs 3PO'!AC2:AC1048576,"UNRECONCILED",'Zomato POS vs 3PO'!AF2:AF1048576,"COMMISSION_VALUE_ZOMATO_POS_MISMATCH")</f>
        <v/>
      </c>
      <c r="D22" s="5">
        <f>SUMIFS('Zomato POS vs 3PO'!F2:F1048576,'Zomato POS vs 3PO'!F2:F1048576,"&lt;&gt;",'Zomato POS vs 3PO'!AC2:AC1048576,"UNRECONCILED",'Zomato POS vs 3PO'!AF2:AF1048576,"COMMISSION_VALUE_ZOMATO_POS_MISMATCH")</f>
        <v/>
      </c>
      <c r="E22" s="5">
        <f>C22-D22</f>
        <v/>
      </c>
      <c r="F22" s="5">
        <f>SUMIFS('Zomato POS vs 3PO'!Z2:Z1048576,'Zomato POS vs 3PO'!Z2:Z1048576,"&lt;&gt;",'Zomato POS vs 3PO'!AC2:AC1048576,"UNRECONCILED",'Zomato POS vs 3PO'!AF2:AF1048576,"COMMISSION_VALUE_ZOMATO_POS_MISMATCH")</f>
        <v/>
      </c>
      <c r="G22" s="5">
        <f>COUNTIFS('Zomato 3PO vs POS'!AU2:AU1048576,"UNRECONCILED",'Zomato 3PO vs POS'!AX2:AX1048576,"COMMISSION_VALUE_ZOMATO_POS_MISMATCH")</f>
        <v/>
      </c>
      <c r="H22" s="5">
        <f>SUMIFS('Zomato 3PO vs POS'!E2:E1048576,'Zomato 3PO vs POS'!E2:E1048576,"&lt;&gt;",'Zomato 3PO vs POS'!AU2:AU1048576,"UNRECONCILED",'Zomato 3PO vs POS'!AX2:AX1048576,"COMMISSION_VALUE_ZOMATO_POS_MISMATCH")</f>
        <v/>
      </c>
      <c r="I22" s="5">
        <f>SUMIFS('Zomato 3PO vs POS'!F2:F1048576,'Zomato 3PO vs POS'!F2:F1048576,"&lt;&gt;",'Zomato 3PO vs POS'!AU2:AU1048576,"UNRECONCILED",'Zomato 3PO vs POS'!AX2:AX1048576,"COMMISSION_VALUE_ZOMATO_POS_MISMATCH")</f>
        <v/>
      </c>
      <c r="J22" s="5">
        <f>H22-I22</f>
        <v/>
      </c>
      <c r="K22" s="5">
        <f>SUMIFS('Zomato 3PO vs POS'!Z2:Z1048576,'Zomato 3PO vs POS'!Z2:Z1048576,"&lt;&gt;",'Zomato 3PO vs POS'!AU2:AU1048576,"UNRECONCILED",'Zomato 3PO vs POS'!AX2:AX1048576,"COMMISSION_VALUE_ZOMATO_POS_MISMATCH")</f>
        <v/>
      </c>
    </row>
    <row r="23">
      <c r="A23" s="4" t="inlineStr">
        <is>
          <t>PG Charge mismatch</t>
        </is>
      </c>
      <c r="B23" s="5">
        <f>COUNTIFS('Zomato POS vs 3PO'!AC2:AC1048576,"UNRECONCILED",'Zomato POS vs 3PO'!AF2:AF1048576,"PG_CHARGE_ZOMATO_POS_MISMATCH")</f>
        <v/>
      </c>
      <c r="C23" s="5">
        <f>SUMIFS('Zomato POS vs 3PO'!E2:E1048576,'Zomato POS vs 3PO'!E2:E1048576,"&lt;&gt;",'Zomato POS vs 3PO'!AC2:AC1048576,"UNRECONCILED",'Zomato POS vs 3PO'!AF2:AF1048576,"PG_CHARGE_ZOMATO_POS_MISMATCH")</f>
        <v/>
      </c>
      <c r="D23" s="5">
        <f>SUMIFS('Zomato POS vs 3PO'!F2:F1048576,'Zomato POS vs 3PO'!F2:F1048576,"&lt;&gt;",'Zomato POS vs 3PO'!AC2:AC1048576,"UNRECONCILED",'Zomato POS vs 3PO'!AF2:AF1048576,"PG_CHARGE_ZOMATO_POS_MISMATCH")</f>
        <v/>
      </c>
      <c r="E23" s="5">
        <f>C23-D23</f>
        <v/>
      </c>
      <c r="F23" s="5">
        <f>SUMIFS('Zomato POS vs 3PO'!Z2:Z1048576,'Zomato POS vs 3PO'!Z2:Z1048576,"&lt;&gt;",'Zomato POS vs 3PO'!AC2:AC1048576,"UNRECONCILED",'Zomato POS vs 3PO'!AF2:AF1048576,"PG_CHARGE_ZOMATO_POS_MISMATCH")</f>
        <v/>
      </c>
      <c r="G23" s="5">
        <f>COUNTIFS('Zomato 3PO vs POS'!AU2:AU1048576,"UNRECONCILED",'Zomato 3PO vs POS'!AX2:AX1048576,"PG_CHARGE_ZOMATO_POS_MISMATCH")</f>
        <v/>
      </c>
      <c r="H23" s="5">
        <f>SUMIFS('Zomato 3PO vs POS'!E2:E1048576,'Zomato 3PO vs POS'!E2:E1048576,"&lt;&gt;",'Zomato 3PO vs POS'!AU2:AU1048576,"UNRECONCILED",'Zomato 3PO vs POS'!AX2:AX1048576,"PG_CHARGE_ZOMATO_POS_MISMATCH")</f>
        <v/>
      </c>
      <c r="I23" s="5">
        <f>SUMIFS('Zomato 3PO vs POS'!F2:F1048576,'Zomato 3PO vs POS'!F2:F1048576,"&lt;&gt;",'Zomato 3PO vs POS'!AU2:AU1048576,"UNRECONCILED",'Zomato 3PO vs POS'!AX2:AX1048576,"PG_CHARGE_ZOMATO_POS_MISMATCH")</f>
        <v/>
      </c>
      <c r="J23" s="5">
        <f>H23-I23</f>
        <v/>
      </c>
      <c r="K23" s="5">
        <f>SUMIFS('Zomato 3PO vs POS'!Z2:Z1048576,'Zomato 3PO vs POS'!Z2:Z1048576,"&lt;&gt;",'Zomato 3PO vs POS'!AU2:AU1048576,"UNRECONCILED",'Zomato 3PO vs POS'!AX2:AX1048576,"PG_CHARGE_ZOMATO_POS_MISMATCH")</f>
        <v/>
      </c>
    </row>
    <row r="24">
      <c r="A24" s="4" t="inlineStr">
        <is>
          <t>Net Amount &amp; Tax Paid by Customer mismatch</t>
        </is>
      </c>
      <c r="B24" s="5">
        <f>COUNTIFS('Zomato POS vs 3PO'!AC2:AC1048576,"UNRECONCILED",'Zomato POS vs 3PO'!AF2:AF1048576,"NET_AMOUNT_ZOMATO_POS_MISMATCH,TAX_PAID_BY_CUSTOMER_ZOMATO_POS_MISMATCH")</f>
        <v/>
      </c>
      <c r="C24" s="5">
        <f>SUMIFS('Zomato POS vs 3PO'!E2:E1048576,'Zomato POS vs 3PO'!E2:E1048576,"&lt;&gt;",'Zomato POS vs 3PO'!AC2:AC1048576,"UNRECONCILED",'Zomato POS vs 3PO'!AF2:AF1048576,"NET_AMOUNT_ZOMATO_POS_MISMATCH,TAX_PAID_BY_CUSTOMER_ZOMATO_POS_MISMATCH")</f>
        <v/>
      </c>
      <c r="D24" s="5">
        <f>SUMIFS('Zomato POS vs 3PO'!F2:F1048576,'Zomato POS vs 3PO'!F2:F1048576,"&lt;&gt;",'Zomato POS vs 3PO'!AC2:AC1048576,"UNRECONCILED",'Zomato POS vs 3PO'!AF2:AF1048576,"NET_AMOUNT_ZOMATO_POS_MISMATCH,TAX_PAID_BY_CUSTOMER_ZOMATO_POS_MISMATCH")</f>
        <v/>
      </c>
      <c r="E24" s="5">
        <f>C24-D24</f>
        <v/>
      </c>
      <c r="F24" s="5">
        <f>SUMIFS('Zomato POS vs 3PO'!Z2:Z1048576,'Zomato POS vs 3PO'!Z2:Z1048576,"&lt;&gt;",'Zomato POS vs 3PO'!AC2:AC1048576,"UNRECONCILED",'Zomato POS vs 3PO'!AF2:AF1048576,"NET_AMOUNT_ZOMATO_POS_MISMATCH,TAX_PAID_BY_CUSTOMER_ZOMATO_POS_MISMATCH")</f>
        <v/>
      </c>
      <c r="G24" s="5">
        <f>COUNTIFS('Zomato 3PO vs POS'!AU2:AU1048576,"UNRECONCILED",'Zomato 3PO vs POS'!AX2:AX1048576,"NET_AMOUNT_ZOMATO_POS_MISMATCH,TAX_PAID_BY_CUSTOMER_ZOMATO_POS_MISMATCH")</f>
        <v/>
      </c>
      <c r="H24" s="5">
        <f>SUMIFS('Zomato 3PO vs POS'!E2:E1048576,'Zomato 3PO vs POS'!E2:E1048576,"&lt;&gt;",'Zomato 3PO vs POS'!AU2:AU1048576,"UNRECONCILED",'Zomato 3PO vs POS'!AX2:AX1048576,"NET_AMOUNT_ZOMATO_POS_MISMATCH,TAX_PAID_BY_CUSTOMER_ZOMATO_POS_MISMATCH")</f>
        <v/>
      </c>
      <c r="I24" s="5">
        <f>SUMIFS('Zomato 3PO vs POS'!F2:F1048576,'Zomato 3PO vs POS'!F2:F1048576,"&lt;&gt;",'Zomato 3PO vs POS'!AU2:AU1048576,"UNRECONCILED",'Zomato 3PO vs POS'!AX2:AX1048576,"NET_AMOUNT_ZOMATO_POS_MISMATCH,TAX_PAID_BY_CUSTOMER_ZOMATO_POS_MISMATCH")</f>
        <v/>
      </c>
      <c r="J24" s="5">
        <f>H24-I24</f>
        <v/>
      </c>
      <c r="K24" s="5">
        <f>SUMIFS('Zomato 3PO vs POS'!Z2:Z1048576,'Zomato 3PO vs POS'!Z2:Z1048576,"&lt;&gt;",'Zomato 3PO vs POS'!AU2:AU1048576,"UNRECONCILED",'Zomato 3PO vs POS'!AX2:AX1048576,"NET_AMOUNT_ZOMATO_POS_MISMATCH,TAX_PAID_BY_CUSTOMER_ZOMATO_POS_MISMATCH")</f>
        <v/>
      </c>
    </row>
    <row r="25">
      <c r="A25" s="4" t="inlineStr">
        <is>
          <t>Net Amount &amp; Commission Value mismatch</t>
        </is>
      </c>
      <c r="B25" s="5">
        <f>COUNTIFS('Zomato POS vs 3PO'!AC2:AC1048576,"UNRECONCILED",'Zomato POS vs 3PO'!AF2:AF1048576,"NET_AMOUNT_ZOMATO_POS_MISMATCH,COMMISSION_VALUE_ZOMATO_POS_MISMATCH")</f>
        <v/>
      </c>
      <c r="C25" s="5">
        <f>SUMIFS('Zomato POS vs 3PO'!E2:E1048576,'Zomato POS vs 3PO'!E2:E1048576,"&lt;&gt;",'Zomato POS vs 3PO'!AC2:AC1048576,"UNRECONCILED",'Zomato POS vs 3PO'!AF2:AF1048576,"NET_AMOUNT_ZOMATO_POS_MISMATCH,COMMISSION_VALUE_ZOMATO_POS_MISMATCH")</f>
        <v/>
      </c>
      <c r="D25" s="5">
        <f>SUMIFS('Zomato POS vs 3PO'!F2:F1048576,'Zomato POS vs 3PO'!F2:F1048576,"&lt;&gt;",'Zomato POS vs 3PO'!AC2:AC1048576,"UNRECONCILED",'Zomato POS vs 3PO'!AF2:AF1048576,"NET_AMOUNT_ZOMATO_POS_MISMATCH,COMMISSION_VALUE_ZOMATO_POS_MISMATCH")</f>
        <v/>
      </c>
      <c r="E25" s="5">
        <f>C25-D25</f>
        <v/>
      </c>
      <c r="F25" s="5">
        <f>SUMIFS('Zomato POS vs 3PO'!Z2:Z1048576,'Zomato POS vs 3PO'!Z2:Z1048576,"&lt;&gt;",'Zomato POS vs 3PO'!AC2:AC1048576,"UNRECONCILED",'Zomato POS vs 3PO'!AF2:AF1048576,"NET_AMOUNT_ZOMATO_POS_MISMATCH,COMMISSION_VALUE_ZOMATO_POS_MISMATCH")</f>
        <v/>
      </c>
      <c r="G25" s="5">
        <f>COUNTIFS('Zomato 3PO vs POS'!AU2:AU1048576,"UNRECONCILED",'Zomato 3PO vs POS'!AX2:AX1048576,"NET_AMOUNT_ZOMATO_POS_MISMATCH,COMMISSION_VALUE_ZOMATO_POS_MISMATCH")</f>
        <v/>
      </c>
      <c r="H25" s="5">
        <f>SUMIFS('Zomato 3PO vs POS'!E2:E1048576,'Zomato 3PO vs POS'!E2:E1048576,"&lt;&gt;",'Zomato 3PO vs POS'!AU2:AU1048576,"UNRECONCILED",'Zomato 3PO vs POS'!AX2:AX1048576,"NET_AMOUNT_ZOMATO_POS_MISMATCH,COMMISSION_VALUE_ZOMATO_POS_MISMATCH")</f>
        <v/>
      </c>
      <c r="I25" s="5">
        <f>SUMIFS('Zomato 3PO vs POS'!F2:F1048576,'Zomato 3PO vs POS'!F2:F1048576,"&lt;&gt;",'Zomato 3PO vs POS'!AU2:AU1048576,"UNRECONCILED",'Zomato 3PO vs POS'!AX2:AX1048576,"NET_AMOUNT_ZOMATO_POS_MISMATCH,COMMISSION_VALUE_ZOMATO_POS_MISMATCH")</f>
        <v/>
      </c>
      <c r="J25" s="5">
        <f>H25-I25</f>
        <v/>
      </c>
      <c r="K25" s="5">
        <f>SUMIFS('Zomato 3PO vs POS'!Z2:Z1048576,'Zomato 3PO vs POS'!Z2:Z1048576,"&lt;&gt;",'Zomato 3PO vs POS'!AU2:AU1048576,"UNRECONCILED",'Zomato 3PO vs POS'!AX2:AX1048576,"NET_AMOUNT_ZOMATO_POS_MISMATCH,COMMISSION_VALUE_ZOMATO_POS_MISMATCH")</f>
        <v/>
      </c>
    </row>
    <row r="26">
      <c r="A26" s="4" t="inlineStr">
        <is>
          <t>Net Amount &amp; PG Charge mismatch</t>
        </is>
      </c>
      <c r="B26" s="5">
        <f>COUNTIFS('Zomato POS vs 3PO'!AC2:AC1048576,"UNRECONCILED",'Zomato POS vs 3PO'!AF2:AF1048576,"NET_AMOUNT_ZOMATO_POS_MISMATCH,PG_CHARGE_ZOMATO_POS_MISMATCH")</f>
        <v/>
      </c>
      <c r="C26" s="5">
        <f>SUMIFS('Zomato POS vs 3PO'!E2:E1048576,'Zomato POS vs 3PO'!E2:E1048576,"&lt;&gt;",'Zomato POS vs 3PO'!AC2:AC1048576,"UNRECONCILED",'Zomato POS vs 3PO'!AF2:AF1048576,"NET_AMOUNT_ZOMATO_POS_MISMATCH,PG_CHARGE_ZOMATO_POS_MISMATCH")</f>
        <v/>
      </c>
      <c r="D26" s="5">
        <f>SUMIFS('Zomato POS vs 3PO'!F2:F1048576,'Zomato POS vs 3PO'!F2:F1048576,"&lt;&gt;",'Zomato POS vs 3PO'!AC2:AC1048576,"UNRECONCILED",'Zomato POS vs 3PO'!AF2:AF1048576,"NET_AMOUNT_ZOMATO_POS_MISMATCH,PG_CHARGE_ZOMATO_POS_MISMATCH")</f>
        <v/>
      </c>
      <c r="E26" s="5">
        <f>C26-D26</f>
        <v/>
      </c>
      <c r="F26" s="5">
        <f>SUMIFS('Zomato POS vs 3PO'!Z2:Z1048576,'Zomato POS vs 3PO'!Z2:Z1048576,"&lt;&gt;",'Zomato POS vs 3PO'!AC2:AC1048576,"UNRECONCILED",'Zomato POS vs 3PO'!AF2:AF1048576,"NET_AMOUNT_ZOMATO_POS_MISMATCH,PG_CHARGE_ZOMATO_POS_MISMATCH")</f>
        <v/>
      </c>
      <c r="G26" s="5">
        <f>COUNTIFS('Zomato 3PO vs POS'!AU2:AU1048576,"UNRECONCILED",'Zomato 3PO vs POS'!AX2:AX1048576,"NET_AMOUNT_ZOMATO_POS_MISMATCH,PG_CHARGE_ZOMATO_POS_MISMATCH")</f>
        <v/>
      </c>
      <c r="H26" s="5">
        <f>SUMIFS('Zomato 3PO vs POS'!E2:E1048576,'Zomato 3PO vs POS'!E2:E1048576,"&lt;&gt;",'Zomato 3PO vs POS'!AU2:AU1048576,"UNRECONCILED",'Zomato 3PO vs POS'!AX2:AX1048576,"NET_AMOUNT_ZOMATO_POS_MISMATCH,PG_CHARGE_ZOMATO_POS_MISMATCH")</f>
        <v/>
      </c>
      <c r="I26" s="5">
        <f>SUMIFS('Zomato 3PO vs POS'!F2:F1048576,'Zomato 3PO vs POS'!F2:F1048576,"&lt;&gt;",'Zomato 3PO vs POS'!AU2:AU1048576,"UNRECONCILED",'Zomato 3PO vs POS'!AX2:AX1048576,"NET_AMOUNT_ZOMATO_POS_MISMATCH,PG_CHARGE_ZOMATO_POS_MISMATCH")</f>
        <v/>
      </c>
      <c r="J26" s="5">
        <f>H26-I26</f>
        <v/>
      </c>
      <c r="K26" s="5">
        <f>SUMIFS('Zomato 3PO vs POS'!Z2:Z1048576,'Zomato 3PO vs POS'!Z2:Z1048576,"&lt;&gt;",'Zomato 3PO vs POS'!AU2:AU1048576,"UNRECONCILED",'Zomato 3PO vs POS'!AX2:AX1048576,"NET_AMOUNT_ZOMATO_POS_MISMATCH,PG_CHARGE_ZOMATO_POS_MISMATCH")</f>
        <v/>
      </c>
    </row>
    <row r="27">
      <c r="A27" s="4" t="inlineStr">
        <is>
          <t>Tax Paid by Customer &amp; Commission Value mismatch</t>
        </is>
      </c>
      <c r="B27" s="5">
        <f>COUNTIFS('Zomato POS vs 3PO'!AC2:AC1048576,"UNRECONCILED",'Zomato POS vs 3PO'!AF2:AF1048576,"TAX_PAID_BY_CUSTOMER_ZOMATO_POS_MISMATCH,COMMISSION_VALUE_ZOMATO_POS_MISMATCH")</f>
        <v/>
      </c>
      <c r="C27" s="5">
        <f>SUMIFS('Zomato POS vs 3PO'!E2:E1048576,'Zomato POS vs 3PO'!E2:E1048576,"&lt;&gt;",'Zomato POS vs 3PO'!AC2:AC1048576,"UNRECONCILED",'Zomato POS vs 3PO'!AF2:AF1048576,"TAX_PAID_BY_CUSTOMER_ZOMATO_POS_MISMATCH,COMMISSION_VALUE_ZOMATO_POS_MISMATCH")</f>
        <v/>
      </c>
      <c r="D27" s="5">
        <f>SUMIFS('Zomato POS vs 3PO'!F2:F1048576,'Zomato POS vs 3PO'!F2:F1048576,"&lt;&gt;",'Zomato POS vs 3PO'!AC2:AC1048576,"UNRECONCILED",'Zomato POS vs 3PO'!AF2:AF1048576,"TAX_PAID_BY_CUSTOMER_ZOMATO_POS_MISMATCH,COMMISSION_VALUE_ZOMATO_POS_MISMATCH")</f>
        <v/>
      </c>
      <c r="E27" s="5">
        <f>C27-D27</f>
        <v/>
      </c>
      <c r="F27" s="5">
        <f>SUMIFS('Zomato POS vs 3PO'!Z2:Z1048576,'Zomato POS vs 3PO'!Z2:Z1048576,"&lt;&gt;",'Zomato POS vs 3PO'!AC2:AC1048576,"UNRECONCILED",'Zomato POS vs 3PO'!AF2:AF1048576,"TAX_PAID_BY_CUSTOMER_ZOMATO_POS_MISMATCH,COMMISSION_VALUE_ZOMATO_POS_MISMATCH")</f>
        <v/>
      </c>
      <c r="G27" s="5">
        <f>COUNTIFS('Zomato 3PO vs POS'!AU2:AU1048576,"UNRECONCILED",'Zomato 3PO vs POS'!AX2:AX1048576,"TAX_PAID_BY_CUSTOMER_ZOMATO_POS_MISMATCH,COMMISSION_VALUE_ZOMATO_POS_MISMATCH")</f>
        <v/>
      </c>
      <c r="H27" s="5">
        <f>SUMIFS('Zomato 3PO vs POS'!E2:E1048576,'Zomato 3PO vs POS'!E2:E1048576,"&lt;&gt;",'Zomato 3PO vs POS'!AU2:AU1048576,"UNRECONCILED",'Zomato 3PO vs POS'!AX2:AX1048576,"TAX_PAID_BY_CUSTOMER_ZOMATO_POS_MISMATCH,COMMISSION_VALUE_ZOMATO_POS_MISMATCH")</f>
        <v/>
      </c>
      <c r="I27" s="5">
        <f>SUMIFS('Zomato 3PO vs POS'!F2:F1048576,'Zomato 3PO vs POS'!F2:F1048576,"&lt;&gt;",'Zomato 3PO vs POS'!AU2:AU1048576,"UNRECONCILED",'Zomato 3PO vs POS'!AX2:AX1048576,"TAX_PAID_BY_CUSTOMER_ZOMATO_POS_MISMATCH,COMMISSION_VALUE_ZOMATO_POS_MISMATCH")</f>
        <v/>
      </c>
      <c r="J27" s="5">
        <f>H27-I27</f>
        <v/>
      </c>
      <c r="K27" s="5">
        <f>SUMIFS('Zomato 3PO vs POS'!Z2:Z1048576,'Zomato 3PO vs POS'!Z2:Z1048576,"&lt;&gt;",'Zomato 3PO vs POS'!AU2:AU1048576,"UNRECONCILED",'Zomato 3PO vs POS'!AX2:AX1048576,"TAX_PAID_BY_CUSTOMER_ZOMATO_POS_MISMATCH,COMMISSION_VALUE_ZOMATO_POS_MISMATCH")</f>
        <v/>
      </c>
    </row>
    <row r="28">
      <c r="A28" s="4" t="inlineStr">
        <is>
          <t>Tax Paid by Customer &amp; PG Charge mismatch</t>
        </is>
      </c>
      <c r="B28" s="5">
        <f>COUNTIFS('Zomato POS vs 3PO'!AC2:AC1048576,"UNRECONCILED",'Zomato POS vs 3PO'!AF2:AF1048576,"TAX_PAID_BY_CUSTOMER_ZOMATO_POS_MISMATCH,PG_CHARGE_ZOMATO_POS_MISMATCH")</f>
        <v/>
      </c>
      <c r="C28" s="5">
        <f>SUMIFS('Zomato POS vs 3PO'!E2:E1048576,'Zomato POS vs 3PO'!E2:E1048576,"&lt;&gt;",'Zomato POS vs 3PO'!AC2:AC1048576,"UNRECONCILED",'Zomato POS vs 3PO'!AF2:AF1048576,"TAX_PAID_BY_CUSTOMER_ZOMATO_POS_MISMATCH,PG_CHARGE_ZOMATO_POS_MISMATCH")</f>
        <v/>
      </c>
      <c r="D28" s="5">
        <f>SUMIFS('Zomato POS vs 3PO'!F2:F1048576,'Zomato POS vs 3PO'!F2:F1048576,"&lt;&gt;",'Zomato POS vs 3PO'!AC2:AC1048576,"UNRECONCILED",'Zomato POS vs 3PO'!AF2:AF1048576,"TAX_PAID_BY_CUSTOMER_ZOMATO_POS_MISMATCH,PG_CHARGE_ZOMATO_POS_MISMATCH")</f>
        <v/>
      </c>
      <c r="E28" s="5">
        <f>C28-D28</f>
        <v/>
      </c>
      <c r="F28" s="5">
        <f>SUMIFS('Zomato POS vs 3PO'!Z2:Z1048576,'Zomato POS vs 3PO'!Z2:Z1048576,"&lt;&gt;",'Zomato POS vs 3PO'!AC2:AC1048576,"UNRECONCILED",'Zomato POS vs 3PO'!AF2:AF1048576,"TAX_PAID_BY_CUSTOMER_ZOMATO_POS_MISMATCH,PG_CHARGE_ZOMATO_POS_MISMATCH")</f>
        <v/>
      </c>
      <c r="G28" s="5">
        <f>COUNTIFS('Zomato 3PO vs POS'!AU2:AU1048576,"UNRECONCILED",'Zomato 3PO vs POS'!AX2:AX1048576,"TAX_PAID_BY_CUSTOMER_ZOMATO_POS_MISMATCH,PG_CHARGE_ZOMATO_POS_MISMATCH")</f>
        <v/>
      </c>
      <c r="H28" s="5">
        <f>SUMIFS('Zomato 3PO vs POS'!E2:E1048576,'Zomato 3PO vs POS'!E2:E1048576,"&lt;&gt;",'Zomato 3PO vs POS'!AU2:AU1048576,"UNRECONCILED",'Zomato 3PO vs POS'!AX2:AX1048576,"TAX_PAID_BY_CUSTOMER_ZOMATO_POS_MISMATCH,PG_CHARGE_ZOMATO_POS_MISMATCH")</f>
        <v/>
      </c>
      <c r="I28" s="5">
        <f>SUMIFS('Zomato 3PO vs POS'!F2:F1048576,'Zomato 3PO vs POS'!F2:F1048576,"&lt;&gt;",'Zomato 3PO vs POS'!AU2:AU1048576,"UNRECONCILED",'Zomato 3PO vs POS'!AX2:AX1048576,"TAX_PAID_BY_CUSTOMER_ZOMATO_POS_MISMATCH,PG_CHARGE_ZOMATO_POS_MISMATCH")</f>
        <v/>
      </c>
      <c r="J28" s="5">
        <f>H28-I28</f>
        <v/>
      </c>
      <c r="K28" s="5">
        <f>SUMIFS('Zomato 3PO vs POS'!Z2:Z1048576,'Zomato 3PO vs POS'!Z2:Z1048576,"&lt;&gt;",'Zomato 3PO vs POS'!AU2:AU1048576,"UNRECONCILED",'Zomato 3PO vs POS'!AX2:AX1048576,"TAX_PAID_BY_CUSTOMER_ZOMATO_POS_MISMATCH,PG_CHARGE_ZOMATO_POS_MISMATCH")</f>
        <v/>
      </c>
    </row>
    <row r="29">
      <c r="A29" s="4" t="inlineStr">
        <is>
          <t>Commission Value &amp; PG Charge mismatch</t>
        </is>
      </c>
      <c r="B29" s="5">
        <f>COUNTIFS('Zomato POS vs 3PO'!AC2:AC1048576,"UNRECONCILED",'Zomato POS vs 3PO'!AF2:AF1048576,"COMMISSION_VALUE_ZOMATO_POS_MISMATCH,PG_CHARGE_ZOMATO_POS_MISMATCH")</f>
        <v/>
      </c>
      <c r="C29" s="5">
        <f>SUMIFS('Zomato POS vs 3PO'!E2:E1048576,'Zomato POS vs 3PO'!E2:E1048576,"&lt;&gt;",'Zomato POS vs 3PO'!AC2:AC1048576,"UNRECONCILED",'Zomato POS vs 3PO'!AF2:AF1048576,"COMMISSION_VALUE_ZOMATO_POS_MISMATCH,PG_CHARGE_ZOMATO_POS_MISMATCH")</f>
        <v/>
      </c>
      <c r="D29" s="5">
        <f>SUMIFS('Zomato POS vs 3PO'!F2:F1048576,'Zomato POS vs 3PO'!F2:F1048576,"&lt;&gt;",'Zomato POS vs 3PO'!AC2:AC1048576,"UNRECONCILED",'Zomato POS vs 3PO'!AF2:AF1048576,"COMMISSION_VALUE_ZOMATO_POS_MISMATCH,PG_CHARGE_ZOMATO_POS_MISMATCH")</f>
        <v/>
      </c>
      <c r="E29" s="5">
        <f>C29-D29</f>
        <v/>
      </c>
      <c r="F29" s="5">
        <f>SUMIFS('Zomato POS vs 3PO'!Z2:Z1048576,'Zomato POS vs 3PO'!Z2:Z1048576,"&lt;&gt;",'Zomato POS vs 3PO'!AC2:AC1048576,"UNRECONCILED",'Zomato POS vs 3PO'!AF2:AF1048576,"COMMISSION_VALUE_ZOMATO_POS_MISMATCH,PG_CHARGE_ZOMATO_POS_MISMATCH")</f>
        <v/>
      </c>
      <c r="G29" s="5">
        <f>COUNTIFS('Zomato 3PO vs POS'!AU2:AU1048576,"UNRECONCILED",'Zomato 3PO vs POS'!AX2:AX1048576,"COMMISSION_VALUE_ZOMATO_POS_MISMATCH,PG_CHARGE_ZOMATO_POS_MISMATCH")</f>
        <v/>
      </c>
      <c r="H29" s="5">
        <f>SUMIFS('Zomato 3PO vs POS'!E2:E1048576,'Zomato 3PO vs POS'!E2:E1048576,"&lt;&gt;",'Zomato 3PO vs POS'!AU2:AU1048576,"UNRECONCILED",'Zomato 3PO vs POS'!AX2:AX1048576,"COMMISSION_VALUE_ZOMATO_POS_MISMATCH,PG_CHARGE_ZOMATO_POS_MISMATCH")</f>
        <v/>
      </c>
      <c r="I29" s="5">
        <f>SUMIFS('Zomato 3PO vs POS'!F2:F1048576,'Zomato 3PO vs POS'!F2:F1048576,"&lt;&gt;",'Zomato 3PO vs POS'!AU2:AU1048576,"UNRECONCILED",'Zomato 3PO vs POS'!AX2:AX1048576,"COMMISSION_VALUE_ZOMATO_POS_MISMATCH,PG_CHARGE_ZOMATO_POS_MISMATCH")</f>
        <v/>
      </c>
      <c r="J29" s="5">
        <f>H29-I29</f>
        <v/>
      </c>
      <c r="K29" s="5">
        <f>SUMIFS('Zomato 3PO vs POS'!Z2:Z1048576,'Zomato 3PO vs POS'!Z2:Z1048576,"&lt;&gt;",'Zomato 3PO vs POS'!AU2:AU1048576,"UNRECONCILED",'Zomato 3PO vs POS'!AX2:AX1048576,"COMMISSION_VALUE_ZOMATO_POS_MISMATCH,PG_CHARGE_ZOMATO_POS_MISMATCH")</f>
        <v/>
      </c>
    </row>
    <row r="30">
      <c r="A30" s="4" t="inlineStr">
        <is>
          <t>Net Amount, Tax Paid by Customer &amp; Commission Value mismatch</t>
        </is>
      </c>
      <c r="B30" s="5">
        <f>COUNTIFS('Zomato POS vs 3PO'!AC2:AC1048576,"UNRECONCILED",'Zomato POS vs 3PO'!AF2:AF1048576,"NET_AMOUNT_ZOMATO_POS_MISMATCH,TAX_PAID_BY_CUSTOMER_ZOMATO_POS_MISMATCH,COMMISSION_VALUE_ZOMATO_POS_MISMATCH")</f>
        <v/>
      </c>
      <c r="C30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3PO'!AF2:AF1048576,"NET_AMOUNT_ZOMATO_POS_MISMATCH,TAX_PAID_BY_CUSTOMER_ZOMATO_POS_MISMATCH,COMMISSION_VALUE_ZOMATO_POS_MISMATCH")</f>
        <v/>
      </c>
      <c r="D30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3PO'!AF2:AF1048576,"NET_AMOUNT_ZOMATO_POS_MISMATCH,TAX_PAID_BY_CUSTOMER_ZOMATO_POS_MISMATCH,COMMISSION_VALUE_ZOMATO_POS_MISMATCH")</f>
        <v/>
      </c>
      <c r="E30" s="5">
        <f>C30-D30</f>
        <v/>
      </c>
      <c r="F30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3PO'!AF2:AF1048576,"NET_AMOUNT_ZOMATO_POS_MISMATCH,TAX_PAID_BY_CUSTOMER_ZOMATO_POS_MISMATCH,COMMISSION_VALUE_ZOMATO_POS_MISMATCH")</f>
        <v/>
      </c>
      <c r="G30" s="5">
        <f>COUNTIFS('Zomato 3PO vs POS'!AU2:AU1048576,"UNRECONCILED",'Zomato 3PO vs POS'!AX2:AX1048576,"NET_AMOUNT_ZOMATO_POS_MISMATCH,TAX_PAID_BY_CUSTOMER_ZOMATO_POS_MISMATCH,COMMISSION_VALUE_ZOMATO_POS_MISMATCH")</f>
        <v/>
      </c>
      <c r="H30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POS'!AX2:AX1048576,"NET_AMOUNT_ZOMATO_POS_MISMATCH,TAX_PAID_BY_CUSTOMER_ZOMATO_POS_MISMATCH,COMMISSION_VALUE_ZOMATO_POS_MISMATCH")</f>
        <v/>
      </c>
      <c r="I30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POS'!AX2:AX1048576,"NET_AMOUNT_ZOMATO_POS_MISMATCH,TAX_PAID_BY_CUSTOMER_ZOMATO_POS_MISMATCH,COMMISSION_VALUE_ZOMATO_POS_MISMATCH")</f>
        <v/>
      </c>
      <c r="J30" s="5">
        <f>H30-I30</f>
        <v/>
      </c>
      <c r="K30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POS'!AX2:AX1048576,"NET_AMOUNT_ZOMATO_POS_MISMATCH,TAX_PAID_BY_CUSTOMER_ZOMATO_POS_MISMATCH,COMMISSION_VALUE_ZOMATO_POS_MISMATCH")</f>
        <v/>
      </c>
    </row>
    <row r="31">
      <c r="A31" s="4" t="inlineStr">
        <is>
          <t>Net Amount, Tax Paid by Customer &amp; PG Charge mismatch</t>
        </is>
      </c>
      <c r="B31" s="5">
        <f>COUNTIFS('Zomato POS vs 3PO'!AC2:AC1048576,"UNRECONCILED",'Zomato POS vs 3PO'!AF2:AF1048576,"NET_AMOUNT_ZOMATO_POS_MISMATCH,TAX_PAID_BY_CUSTOMER_ZOMATO_POS_MISMATCH,PG_CHARGE_ZOMATO_POS_MISMATCH")</f>
        <v/>
      </c>
      <c r="C31" s="5">
        <f>SUMIFS('Zomato POS vs 3PO'!E2:E1048576,'Zomato POS vs 3PO'!E2:E1048576,"&lt;&gt;",'Zomato POS vs 3PO'!AC2:AC1048576,"UNRECONCILED",'Zomato POS vs 3PO'!AF2:AF1048576,"NET_AMOUNT_ZOMATO_POS_MISMATCH,TAX_PAID_BY_CUSTOMER_ZOMATO_POS_MISMATCH,PG_CHARGE_ZOMATO_POS_MISMATCH")</f>
        <v/>
      </c>
      <c r="D31" s="5">
        <f>SUMIFS('Zomato POS vs 3PO'!F2:F1048576,'Zomato POS vs 3PO'!F2:F1048576,"&lt;&gt;",'Zomato POS vs 3PO'!AC2:AC1048576,"UNRECONCILED",'Zomato POS vs 3PO'!AF2:AF1048576,"NET_AMOUNT_ZOMATO_POS_MISMATCH,TAX_PAID_BY_CUSTOMER_ZOMATO_POS_MISMATCH,PG_CHARGE_ZOMATO_POS_MISMATCH")</f>
        <v/>
      </c>
      <c r="E31" s="5">
        <f>C31-D31</f>
        <v/>
      </c>
      <c r="F31" s="5">
        <f>SUMIFS('Zomato POS vs 3PO'!Z2:Z1048576,'Zomato POS vs 3PO'!Z2:Z1048576,"&lt;&gt;",'Zomato POS vs 3PO'!AC2:AC1048576,"UNRECONCILED",'Zomato POS vs 3PO'!AF2:AF1048576,"NET_AMOUNT_ZOMATO_POS_MISMATCH,TAX_PAID_BY_CUSTOMER_ZOMATO_POS_MISMATCH,PG_CHARGE_ZOMATO_POS_MISMATCH")</f>
        <v/>
      </c>
      <c r="G31" s="5">
        <f>COUNTIFS('Zomato 3PO vs POS'!AU2:AU1048576,"UNRECONCILED",'Zomato 3PO vs POS'!AX2:AX1048576,"NET_AMOUNT_ZOMATO_POS_MISMATCH,TAX_PAID_BY_CUSTOMER_ZOMATO_POS_MISMATCH,PG_CHARGE_ZOMATO_POS_MISMATCH")</f>
        <v/>
      </c>
      <c r="H31" s="5">
        <f>SUMIFS('Zomato 3PO vs POS'!E2:E1048576,'Zomato 3PO vs POS'!E2:E1048576,"&lt;&gt;",'Zomato 3PO vs POS'!AU2:AU1048576,"UNRECONCILED",'Zomato 3PO vs POS'!AX2:AX1048576,"NET_AMOUNT_ZOMATO_POS_MISMATCH,TAX_PAID_BY_CUSTOMER_ZOMATO_POS_MISMATCH,PG_CHARGE_ZOMATO_POS_MISMATCH")</f>
        <v/>
      </c>
      <c r="I31" s="5">
        <f>SUMIFS('Zomato 3PO vs POS'!F2:F1048576,'Zomato 3PO vs POS'!F2:F1048576,"&lt;&gt;",'Zomato 3PO vs POS'!AU2:AU1048576,"UNRECONCILED",'Zomato 3PO vs POS'!AX2:AX1048576,"NET_AMOUNT_ZOMATO_POS_MISMATCH,TAX_PAID_BY_CUSTOMER_ZOMATO_POS_MISMATCH,PG_CHARGE_ZOMATO_POS_MISMATCH")</f>
        <v/>
      </c>
      <c r="J31" s="5">
        <f>H31-I31</f>
        <v/>
      </c>
      <c r="K31" s="5">
        <f>SUMIFS('Zomato 3PO vs POS'!Z2:Z1048576,'Zomato 3PO vs POS'!Z2:Z1048576,"&lt;&gt;",'Zomato 3PO vs POS'!AU2:AU1048576,"UNRECONCILED",'Zomato 3PO vs POS'!AX2:AX1048576,"NET_AMOUNT_ZOMATO_POS_MISMATCH,TAX_PAID_BY_CUSTOMER_ZOMATO_POS_MISMATCH,PG_CHARGE_ZOMATO_POS_MISMATCH")</f>
        <v/>
      </c>
    </row>
    <row r="32">
      <c r="A32" s="4" t="inlineStr">
        <is>
          <t>Net Amount, Commission Value &amp; PG Charge mismatch</t>
        </is>
      </c>
      <c r="B32" s="5">
        <f>COUNTIFS('Zomato POS vs 3PO'!AC2:AC1048576,"UNRECONCILED",'Zomato POS vs 3PO'!AF2:AF1048576,"NET_AMOUNT_ZOMATO_POS_MISMATCH,COMMISSION_VALUE_ZOMATO_POS_MISMATCH,PG_CHARGE_ZOMATO_POS_MISMATCH")</f>
        <v/>
      </c>
      <c r="C32" s="5">
        <f>SUMIFS('Zomato POS vs 3PO'!E2:E1048576,'Zomato POS vs 3PO'!E2:E1048576,"&lt;&gt;",'Zomato POS vs 3PO'!AC2:AC1048576,"UNRECONCILED",'Zomato POS vs 3PO'!AF2:AF1048576,"NET_AMOUNT_ZOMATO_POS_MISMATCH,COMMISSION_VALUE_ZOMATO_POS_MISMATCH,PG_CHARGE_ZOMATO_POS_MISMATCH")</f>
        <v/>
      </c>
      <c r="D32" s="5">
        <f>SUMIFS('Zomato POS vs 3PO'!F2:F1048576,'Zomato POS vs 3PO'!F2:F1048576,"&lt;&gt;",'Zomato POS vs 3PO'!AC2:AC1048576,"UNRECONCILED",'Zomato POS vs 3PO'!AF2:AF1048576,"NET_AMOUNT_ZOMATO_POS_MISMATCH,COMMISSION_VALUE_ZOMATO_POS_MISMATCH,PG_CHARGE_ZOMATO_POS_MISMATCH")</f>
        <v/>
      </c>
      <c r="E32" s="5">
        <f>C32-D32</f>
        <v/>
      </c>
      <c r="F32" s="5">
        <f>SUMIFS('Zomato POS vs 3PO'!Z2:Z1048576,'Zomato POS vs 3PO'!Z2:Z1048576,"&lt;&gt;",'Zomato POS vs 3PO'!AC2:AC1048576,"UNRECONCILED",'Zomato POS vs 3PO'!AF2:AF1048576,"NET_AMOUNT_ZOMATO_POS_MISMATCH,COMMISSION_VALUE_ZOMATO_POS_MISMATCH,PG_CHARGE_ZOMATO_POS_MISMATCH")</f>
        <v/>
      </c>
      <c r="G32" s="5">
        <f>COUNTIFS('Zomato 3PO vs POS'!AU2:AU1048576,"UNRECONCILED",'Zomato 3PO vs POS'!AX2:AX1048576,"NET_AMOUNT_ZOMATO_POS_MISMATCH,COMMISSION_VALUE_ZOMATO_POS_MISMATCH,PG_CHARGE_ZOMATO_POS_MISMATCH")</f>
        <v/>
      </c>
      <c r="H32" s="5">
        <f>SUMIFS('Zomato 3PO vs POS'!E2:E1048576,'Zomato 3PO vs POS'!E2:E1048576,"&lt;&gt;",'Zomato 3PO vs POS'!AU2:AU1048576,"UNRECONCILED",'Zomato 3PO vs POS'!AX2:AX1048576,"NET_AMOUNT_ZOMATO_POS_MISMATCH,COMMISSION_VALUE_ZOMATO_POS_MISMATCH,PG_CHARGE_ZOMATO_POS_MISMATCH")</f>
        <v/>
      </c>
      <c r="I32" s="5">
        <f>SUMIFS('Zomato 3PO vs POS'!F2:F1048576,'Zomato 3PO vs POS'!F2:F1048576,"&lt;&gt;",'Zomato 3PO vs POS'!AU2:AU1048576,"UNRECONCILED",'Zomato 3PO vs POS'!AX2:AX1048576,"NET_AMOUNT_ZOMATO_POS_MISMATCH,COMMISSION_VALUE_ZOMATO_POS_MISMATCH,PG_CHARGE_ZOMATO_POS_MISMATCH")</f>
        <v/>
      </c>
      <c r="J32" s="5">
        <f>H32-I32</f>
        <v/>
      </c>
      <c r="K32" s="5">
        <f>SUMIFS('Zomato 3PO vs POS'!Z2:Z1048576,'Zomato 3PO vs POS'!Z2:Z1048576,"&lt;&gt;",'Zomato 3PO vs POS'!AU2:AU1048576,"UNRECONCILED",'Zomato 3PO vs POS'!AX2:AX1048576,"NET_AMOUNT_ZOMATO_POS_MISMATCH,COMMISSION_VALUE_ZOMATO_POS_MISMATCH,PG_CHARGE_ZOMATO_POS_MISMATCH")</f>
        <v/>
      </c>
    </row>
    <row r="33">
      <c r="A33" s="4" t="inlineStr">
        <is>
          <t>Tax Paid by Customer, Commission Value &amp; PG Charge mismatch</t>
        </is>
      </c>
      <c r="B33" s="5">
        <f>COUNTIFS('Zomato POS vs 3PO'!AC2:AC1048576,"UNRECONCILED",'Zomato POS vs 3PO'!AF2:AF1048576,"TAX_PAID_BY_CUSTOMER_ZOMATO_POS_MISMATCH,COMMISSION_VALUE_ZOMATO_POS_MISMATCH,PG_CHARGE_ZOMATO_POS_MISMATCH")</f>
        <v/>
      </c>
      <c r="C33" s="5">
        <f>SUMIFS('Zomato POS vs 3PO'!E2:E1048576,'Zomato POS vs 3PO'!E2:E1048576,"&lt;&gt;",'Zomato POS vs 3PO'!AC2:AC1048576,"UNRECONCILED",'Zomato POS vs 3PO'!AF2:AF1048576,"TAX_PAID_BY_CUSTOMER_ZOMATO_POS_MISMATCH,COMMISSION_VALUE_ZOMATO_POS_MISMATCH,PG_CHARGE_ZOMATO_POS_MISMATCH")</f>
        <v/>
      </c>
      <c r="D33" s="5">
        <f>SUMIFS('Zomato POS vs 3PO'!F2:F1048576,'Zomato POS vs 3PO'!F2:F1048576,"&lt;&gt;",'Zomato POS vs 3PO'!AC2:AC1048576,"UNRECONCILED",'Zomato POS vs 3PO'!AF2:AF1048576,"TAX_PAID_BY_CUSTOMER_ZOMATO_POS_MISMATCH,COMMISSION_VALUE_ZOMATO_POS_MISMATCH,PG_CHARGE_ZOMATO_POS_MISMATCH")</f>
        <v/>
      </c>
      <c r="E33" s="5">
        <f>C33-D33</f>
        <v/>
      </c>
      <c r="F33" s="5">
        <f>SUMIFS('Zomato POS vs 3PO'!Z2:Z1048576,'Zomato POS vs 3PO'!Z2:Z1048576,"&lt;&gt;",'Zomato POS vs 3PO'!AC2:AC1048576,"UNRECONCILED",'Zomato POS vs 3PO'!AF2:AF1048576,"TAX_PAID_BY_CUSTOMER_ZOMATO_POS_MISMATCH,COMMISSION_VALUE_ZOMATO_POS_MISMATCH,PG_CHARGE_ZOMATO_POS_MISMATCH")</f>
        <v/>
      </c>
      <c r="G33" s="5">
        <f>COUNTIFS('Zomato 3PO vs POS'!AU2:AU1048576,"UNRECONCILED",'Zomato 3PO vs POS'!AX2:AX1048576,"TAX_PAID_BY_CUSTOMER_ZOMATO_POS_MISMATCH,COMMISSION_VALUE_ZOMATO_POS_MISMATCH,PG_CHARGE_ZOMATO_POS_MISMATCH")</f>
        <v/>
      </c>
      <c r="H33" s="5">
        <f>SUMIFS('Zomato 3PO vs POS'!E2:E1048576,'Zomato 3PO vs POS'!E2:E1048576,"&lt;&gt;",'Zomato 3PO vs POS'!AU2:AU1048576,"UNRECONCILED",'Zomato 3PO vs POS'!AX2:AX1048576,"TAX_PAID_BY_CUSTOMER_ZOMATO_POS_MISMATCH,COMMISSION_VALUE_ZOMATO_POS_MISMATCH,PG_CHARGE_ZOMATO_POS_MISMATCH")</f>
        <v/>
      </c>
      <c r="I33" s="5">
        <f>SUMIFS('Zomato 3PO vs POS'!F2:F1048576,'Zomato 3PO vs POS'!F2:F1048576,"&lt;&gt;",'Zomato 3PO vs POS'!AU2:AU1048576,"UNRECONCILED",'Zomato 3PO vs POS'!AX2:AX1048576,"TAX_PAID_BY_CUSTOMER_ZOMATO_POS_MISMATCH,COMMISSION_VALUE_ZOMATO_POS_MISMATCH,PG_CHARGE_ZOMATO_POS_MISMATCH")</f>
        <v/>
      </c>
      <c r="J33" s="5">
        <f>H33-I33</f>
        <v/>
      </c>
      <c r="K33" s="5">
        <f>SUMIFS('Zomato 3PO vs POS'!Z2:Z1048576,'Zomato 3PO vs POS'!Z2:Z1048576,"&lt;&gt;",'Zomato 3PO vs POS'!AU2:AU1048576,"UNRECONCILED",'Zomato 3PO vs POS'!AX2:AX1048576,"TAX_PAID_BY_CUSTOMER_ZOMATO_POS_MISMATCH,COMMISSION_VALUE_ZOMATO_POS_MISMATCH,PG_CHARGE_ZOMATO_POS_MISMATCH")</f>
        <v/>
      </c>
    </row>
    <row r="34">
      <c r="A34" s="4" t="inlineStr">
        <is>
          <t>Net Amount, Tax Paid by Customer, Commission Value &amp; PG Charge mismatch</t>
        </is>
      </c>
      <c r="B34" s="5">
        <f>COUNTIFS('Zomato POS vs 3PO'!AC2:AC1048576,"UNRECONCILED",'Zomato POS vs 3PO'!AF2:AF1048576,"NET_AMOUNT_ZOMATO_POS_MISMATCH,TAX_PAID_BY_CUSTOMER_ZOMATO_POS_MISMATCH,COMMISSION_VALUE_ZOMATO_POS_MISMATCH,PG_CHARGE_ZOMATO_POS_MISMATCH")</f>
        <v/>
      </c>
      <c r="C34" s="5">
        <f>SUMIFS('Zomato POS vs 3PO'!E2:E1048576,'Zomato POS vs 3PO'!E2:E1048576,"&lt;&gt;",'Zomato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D34" s="5">
        <f>SUMIFS('Zomato POS vs 3PO'!F2:F1048576,'Zomato POS vs 3PO'!F2:F1048576,"&lt;&gt;",'Zomato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E34" s="5">
        <f>C34-D34</f>
        <v/>
      </c>
      <c r="F34" s="5">
        <f>SUMIFS('Zomato POS vs 3PO'!Z2:Z1048576,'Zomato POS vs 3PO'!Z2:Z1048576,"&lt;&gt;",'Zomato POS vs 3PO'!AC2:AC1048576,"UNRECONCILED",'Zomato POS vs 3PO'!AF2:AF1048576,"NET_AMOUNT_ZOMATO_POS_MISMATCH,TAX_PAID_BY_CUSTOMER_ZOMATO_POS_MISMATCH,COMMISSION_VALUE_ZOMATO_POS_MISMATCH,PG_CHARGE_ZOMATO_POS_MISMATCH")</f>
        <v/>
      </c>
      <c r="G34" s="5">
        <f>COUNTIFS('Zomato 3PO vs POS'!AU2:AU1048576,"UNRECONCILED",'Zomato 3PO vs POS'!AX2:AX1048576,"NET_AMOUNT_ZOMATO_POS_MISMATCH,TAX_PAID_BY_CUSTOMER_ZOMATO_POS_MISMATCH,COMMISSION_VALUE_ZOMATO_POS_MISMATCH,PG_CHARGE_ZOMATO_POS_MISMATCH")</f>
        <v/>
      </c>
      <c r="H34" s="5">
        <f>SUMIFS('Zomato 3PO vs POS'!E2:E1048576,'Zomato 3PO vs POS'!E2:E1048576,"&lt;&gt;",'Zomato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I34" s="5">
        <f>SUMIFS('Zomato 3PO vs POS'!F2:F1048576,'Zomato 3PO vs POS'!F2:F1048576,"&lt;&gt;",'Zomato 3PO vs POS'!AU2:AU1048576,"UNRECONCILED",'Zomato 3PO vs POS'!AX2:AX1048576,"NET_AMOUNT_ZOMATO_POS_MISMATCH,TAX_PAID_BY_CUSTOMER_ZOMATO_POS_MISMATCH,COMMISSION_VALUE_ZOMATO_POS_MISMATCH,PG_CHARGE_ZOMATO_POS_MISMATCH")</f>
        <v/>
      </c>
      <c r="J34" s="5">
        <f>H34-I34</f>
        <v/>
      </c>
      <c r="K34" s="5">
        <f>SUMIFS('Zomato 3PO vs POS'!Z2:Z1048576,'Zomato 3PO vs POS'!Z2:Z1048576,"&lt;&gt;",'Zomato 3PO vs POS'!AU2:AU1048576,"UNRECONCILED",'Zomato 3PO vs POS'!AX2:AX1048576,"NET_AMOUNT_ZOMATO_POS_MISMATCH,TAX_PAID_BY_CUSTOMER_ZOMATO_POS_MISMATCH,COMMISSION_VALUE_ZOMATO_POS_MISMATCH,PG_CHARGE_ZOMATO_POS_MISMATCH")</f>
        <v/>
      </c>
    </row>
    <row r="35">
      <c r="A35" s="4" t="inlineStr">
        <is>
          <t>PG Applied On mismatch</t>
        </is>
      </c>
      <c r="B35" s="5">
        <f>COUNTIFS('Zomato POS vs 3PO'!AC2:AC1048576,"UNRECONCILED",'Zomato POS vs 3PO'!AF2:AF1048576,"PG_APPLIED_ON_ZOMATO_POS_MISMATCH")</f>
        <v/>
      </c>
      <c r="C35" s="5">
        <f>SUMIFS('Zomato POS vs 3PO'!E2:E1048576,'Zomato POS vs 3PO'!E2:E1048576,"&lt;&gt;",'Zomato POS vs 3PO'!AC2:AC1048576,"UNRECONCILED",'Zomato POS vs 3PO'!AF2:AF1048576,"PG_APPLIED_ON_ZOMATO_POS_MISMATCH")</f>
        <v/>
      </c>
      <c r="D35" s="5">
        <f>SUMIFS('Zomato POS vs 3PO'!F2:F1048576,'Zomato POS vs 3PO'!F2:F1048576,"&lt;&gt;",'Zomato POS vs 3PO'!AC2:AC1048576,"UNRECONCILED",'Zomato POS vs 3PO'!AF2:AF1048576,"PG_APPLIED_ON_ZOMATO_POS_MISMATCH")</f>
        <v/>
      </c>
      <c r="E35" s="5">
        <f>C35-D35</f>
        <v/>
      </c>
      <c r="F35" s="5">
        <f>SUMIFS('Zomato POS vs 3PO'!Z2:Z1048576,'Zomato POS vs 3PO'!Z2:Z1048576,"&lt;&gt;",'Zomato POS vs 3PO'!AC2:AC1048576,"UNRECONCILED",'Zomato POS vs 3PO'!AF2:AF1048576,"PG_APPLIED_ON_ZOMATO_POS_MISMATCH")</f>
        <v/>
      </c>
      <c r="G35" s="5">
        <f>COUNTIFS('Zomato 3PO vs POS'!AU2:AU1048576,"UNRECONCILED",'Zomato 3PO vs POS'!AX2:AX1048576,"PG_APPLIED_ON_ZOMATO_POS_MISMATCH")</f>
        <v/>
      </c>
      <c r="H35" s="5">
        <f>SUMIFS('Zomato 3PO vs POS'!E2:E1048576,'Zomato 3PO vs POS'!E2:E1048576,"&lt;&gt;",'Zomato 3PO vs POS'!AU2:AU1048576,"UNRECONCILED",'Zomato 3PO vs POS'!AX2:AX1048576,"PG_APPLIED_ON_ZOMATO_POS_MISMATCH")</f>
        <v/>
      </c>
      <c r="I35" s="5">
        <f>SUMIFS('Zomato 3PO vs POS'!F2:F1048576,'Zomato 3PO vs POS'!F2:F1048576,"&lt;&gt;",'Zomato 3PO vs POS'!AU2:AU1048576,"UNRECONCILED",'Zomato 3PO vs POS'!AX2:AX1048576,"PG_APPLIED_ON_ZOMATO_POS_MISMATCH")</f>
        <v/>
      </c>
      <c r="J35" s="5">
        <f>H35-I35</f>
        <v/>
      </c>
      <c r="K35" s="5">
        <f>SUMIFS('Zomato 3PO vs POS'!Z2:Z1048576,'Zomato 3PO vs POS'!Z2:Z1048576,"&lt;&gt;",'Zomato 3PO vs POS'!AU2:AU1048576,"UNRECONCILED",'Zomato 3PO vs POS'!AX2:AX1048576,"PG_APPLIED_ON_ZOMATO_POS_MISMATCH")</f>
        <v/>
      </c>
    </row>
    <row r="36">
      <c r="A36" s="4" t="inlineStr">
        <is>
          <t>Taxes Zomato Fee mismatch</t>
        </is>
      </c>
      <c r="B36" s="5">
        <f>COUNTIFS('Zomato POS vs 3PO'!AC2:AC1048576,"UNRECONCILED",'Zomato POS vs 3PO'!AF2:AF1048576,"TAXES_ZOMATO_FEE_ZOMATO_POS_MISMATCH")</f>
        <v/>
      </c>
      <c r="C36" s="5">
        <f>SUMIFS('Zomato POS vs 3PO'!E2:E1048576,'Zomato POS vs 3PO'!E2:E1048576,"&lt;&gt;",'Zomato POS vs 3PO'!AC2:AC1048576,"UNRECONCILED",'Zomato POS vs 3PO'!AF2:AF1048576,"TAXES_ZOMATO_FEE_ZOMATO_POS_MISMATCH")</f>
        <v/>
      </c>
      <c r="D36" s="5">
        <f>SUMIFS('Zomato POS vs 3PO'!F2:F1048576,'Zomato POS vs 3PO'!F2:F1048576,"&lt;&gt;",'Zomato POS vs 3PO'!AC2:AC1048576,"UNRECONCILED",'Zomato POS vs 3PO'!AF2:AF1048576,"TAXES_ZOMATO_FEE_ZOMATO_POS_MISMATCH")</f>
        <v/>
      </c>
      <c r="E36" s="5">
        <f>C36-D36</f>
        <v/>
      </c>
      <c r="F36" s="5">
        <f>SUMIFS('Zomato POS vs 3PO'!Z2:Z1048576,'Zomato POS vs 3PO'!Z2:Z1048576,"&lt;&gt;",'Zomato POS vs 3PO'!AC2:AC1048576,"UNRECONCILED",'Zomato POS vs 3PO'!AF2:AF1048576,"TAXES_ZOMATO_FEE_ZOMATO_POS_MISMATCH")</f>
        <v/>
      </c>
      <c r="G36" s="5">
        <f>COUNTIFS('Zomato 3PO vs POS'!AU2:AU1048576,"UNRECONCILED",'Zomato 3PO vs POS'!AX2:AX1048576,"TAXES_ZOMATO_FEE_ZOMATO_POS_MISMATCH")</f>
        <v/>
      </c>
      <c r="H36" s="5">
        <f>SUMIFS('Zomato 3PO vs POS'!E2:E1048576,'Zomato 3PO vs POS'!E2:E1048576,"&lt;&gt;",'Zomato 3PO vs POS'!AU2:AU1048576,"UNRECONCILED",'Zomato 3PO vs POS'!AX2:AX1048576,"TAXES_ZOMATO_FEE_ZOMATO_POS_MISMATCH")</f>
        <v/>
      </c>
      <c r="I36" s="5">
        <f>SUMIFS('Zomato 3PO vs POS'!F2:F1048576,'Zomato 3PO vs POS'!F2:F1048576,"&lt;&gt;",'Zomato 3PO vs POS'!AU2:AU1048576,"UNRECONCILED",'Zomato 3PO vs POS'!AX2:AX1048576,"TAXES_ZOMATO_FEE_ZOMATO_POS_MISMATCH")</f>
        <v/>
      </c>
      <c r="J36" s="5">
        <f>H36-I36</f>
        <v/>
      </c>
      <c r="K36" s="5">
        <f>SUMIFS('Zomato 3PO vs POS'!Z2:Z1048576,'Zomato 3PO vs POS'!Z2:Z1048576,"&lt;&gt;",'Zomato 3PO vs POS'!AU2:AU1048576,"UNRECONCILED",'Zomato 3PO vs POS'!AX2:AX1048576,"TAXES_ZOMATO_FEE_ZOMATO_POS_MISMATCH")</f>
        <v/>
      </c>
    </row>
    <row r="37">
      <c r="A37" s="4" t="inlineStr">
        <is>
          <t>TDS Amount mismatch</t>
        </is>
      </c>
      <c r="B37" s="5">
        <f>COUNTIFS('Zomato POS vs 3PO'!AC2:AC1048576,"UNRECONCILED",'Zomato POS vs 3PO'!AF2:AF1048576,"TDS_AMOUNT_ZOMATO_POS_MISMATCH")</f>
        <v/>
      </c>
      <c r="C37" s="5">
        <f>SUMIFS('Zomato POS vs 3PO'!E2:E1048576,'Zomato POS vs 3PO'!E2:E1048576,"&lt;&gt;",'Zomato POS vs 3PO'!AC2:AC1048576,"UNRECONCILED",'Zomato POS vs 3PO'!AF2:AF1048576,"TDS_AMOUNT_ZOMATO_POS_MISMATCH")</f>
        <v/>
      </c>
      <c r="D37" s="5">
        <f>SUMIFS('Zomato POS vs 3PO'!F2:F1048576,'Zomato POS vs 3PO'!F2:F1048576,"&lt;&gt;",'Zomato POS vs 3PO'!AC2:AC1048576,"UNRECONCILED",'Zomato POS vs 3PO'!AF2:AF1048576,"TDS_AMOUNT_ZOMATO_POS_MISMATCH")</f>
        <v/>
      </c>
      <c r="E37" s="5">
        <f>C37-D37</f>
        <v/>
      </c>
      <c r="F37" s="5">
        <f>SUMIFS('Zomato POS vs 3PO'!Z2:Z1048576,'Zomato POS vs 3PO'!Z2:Z1048576,"&lt;&gt;",'Zomato POS vs 3PO'!AC2:AC1048576,"UNRECONCILED",'Zomato POS vs 3PO'!AF2:AF1048576,"TDS_AMOUNT_ZOMATO_POS_MISMATCH")</f>
        <v/>
      </c>
      <c r="G37" s="5">
        <f>COUNTIFS('Zomato 3PO vs POS'!AU2:AU1048576,"UNRECONCILED",'Zomato 3PO vs POS'!AX2:AX1048576,"TDS_AMOUNT_ZOMATO_POS_MISMATCH")</f>
        <v/>
      </c>
      <c r="H37" s="5">
        <f>SUMIFS('Zomato 3PO vs POS'!E2:E1048576,'Zomato 3PO vs POS'!E2:E1048576,"&lt;&gt;",'Zomato 3PO vs POS'!AU2:AU1048576,"UNRECONCILED",'Zomato 3PO vs POS'!AX2:AX1048576,"TDS_AMOUNT_ZOMATO_POS_MISMATCH")</f>
        <v/>
      </c>
      <c r="I37" s="5">
        <f>SUMIFS('Zomato 3PO vs POS'!F2:F1048576,'Zomato 3PO vs POS'!F2:F1048576,"&lt;&gt;",'Zomato 3PO vs POS'!AU2:AU1048576,"UNRECONCILED",'Zomato 3PO vs POS'!AX2:AX1048576,"TDS_AMOUNT_ZOMATO_POS_MISMATCH")</f>
        <v/>
      </c>
      <c r="J37" s="5">
        <f>H37-I37</f>
        <v/>
      </c>
      <c r="K37" s="5">
        <f>SUMIFS('Zomato 3PO vs POS'!Z2:Z1048576,'Zomato 3PO vs POS'!Z2:Z1048576,"&lt;&gt;",'Zomato 3PO vs POS'!AU2:AU1048576,"UNRECONCILED",'Zomato 3PO vs POS'!AX2:AX1048576,"TDS_AMOUNT_ZOMATO_POS_MISMATCH")</f>
        <v/>
      </c>
    </row>
    <row r="38">
      <c r="A38" s="4" t="inlineStr">
        <is>
          <t>Final Amount mismatch</t>
        </is>
      </c>
      <c r="B38" s="5">
        <f>COUNTIFS('Zomato POS vs 3PO'!AC2:AC1048576,"UNRECONCILED",'Zomato POS vs 3PO'!AF2:AF1048576,"FINAL_AMOUNT_ZOMATO_POS_MISMATCH")</f>
        <v/>
      </c>
      <c r="C38" s="5">
        <f>SUMIFS('Zomato POS vs 3PO'!E2:E1048576,'Zomato POS vs 3PO'!E2:E1048576,"&lt;&gt;",'Zomato POS vs 3PO'!AC2:AC1048576,"UNRECONCILED",'Zomato POS vs 3PO'!AF2:AF1048576,"FINAL_AMOUNT_ZOMATO_POS_MISMATCH")</f>
        <v/>
      </c>
      <c r="D38" s="5">
        <f>SUMIFS('Zomato POS vs 3PO'!F2:F1048576,'Zomato POS vs 3PO'!F2:F1048576,"&lt;&gt;",'Zomato POS vs 3PO'!AC2:AC1048576,"UNRECONCILED",'Zomato POS vs 3PO'!AF2:AF1048576,"FINAL_AMOUNT_ZOMATO_POS_MISMATCH")</f>
        <v/>
      </c>
      <c r="E38" s="5">
        <f>C38-D38</f>
        <v/>
      </c>
      <c r="F38" s="5">
        <f>SUMIFS('Zomato POS vs 3PO'!Z2:Z1048576,'Zomato POS vs 3PO'!Z2:Z1048576,"&lt;&gt;",'Zomato POS vs 3PO'!AC2:AC1048576,"UNRECONCILED",'Zomato POS vs 3PO'!AF2:AF1048576,"FINAL_AMOUNT_ZOMATO_POS_MISMATCH")</f>
        <v/>
      </c>
      <c r="G38" s="5">
        <f>COUNTIFS('Zomato 3PO vs POS'!AU2:AU1048576,"UNRECONCILED",'Zomato 3PO vs POS'!AX2:AX1048576,"FINAL_AMOUNT_ZOMATO_POS_MISMATCH")</f>
        <v/>
      </c>
      <c r="H38" s="5">
        <f>SUMIFS('Zomato 3PO vs POS'!E2:E1048576,'Zomato 3PO vs POS'!E2:E1048576,"&lt;&gt;",'Zomato 3PO vs POS'!AU2:AU1048576,"UNRECONCILED",'Zomato 3PO vs POS'!AX2:AX1048576,"FINAL_AMOUNT_ZOMATO_POS_MISMATCH")</f>
        <v/>
      </c>
      <c r="I38" s="5">
        <f>SUMIFS('Zomato 3PO vs POS'!F2:F1048576,'Zomato 3PO vs POS'!F2:F1048576,"&lt;&gt;",'Zomato 3PO vs POS'!AU2:AU1048576,"UNRECONCILED",'Zomato 3PO vs POS'!AX2:AX1048576,"FINAL_AMOUNT_ZOMATO_POS_MISMATCH")</f>
        <v/>
      </c>
      <c r="J38" s="5">
        <f>H38-I38</f>
        <v/>
      </c>
      <c r="K38" s="5">
        <f>SUMIFS('Zomato 3PO vs POS'!Z2:Z1048576,'Zomato 3PO vs POS'!Z2:Z1048576,"&lt;&gt;",'Zomato 3PO vs POS'!AU2:AU1048576,"UNRECONCILED",'Zomato 3PO vs POS'!AX2:AX1048576,"FINAL_AMOUNT_ZOMATO_POS_MISMATCH")</f>
        <v/>
      </c>
    </row>
  </sheetData>
  <mergeCells count="2">
    <mergeCell ref="G8:K8"/>
    <mergeCell ref="B8:F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12" customWidth="1" min="3" max="3"/>
    <col width="12" customWidth="1" min="4" max="4"/>
    <col width="16" customWidth="1" min="5" max="5"/>
    <col width="19" customWidth="1" min="6" max="6"/>
    <col width="32" customWidth="1" min="7" max="7"/>
    <col width="26" customWidth="1" min="8" max="8"/>
    <col width="29" customWidth="1" min="9" max="9"/>
    <col width="42" customWidth="1" min="10" max="10"/>
    <col width="22" customWidth="1" min="11" max="11"/>
    <col width="25" customWidth="1" min="12" max="12"/>
    <col width="38" customWidth="1" min="13" max="13"/>
    <col width="19" customWidth="1" min="14" max="14"/>
    <col width="22" customWidth="1" min="15" max="15"/>
    <col width="35" customWidth="1" min="16" max="16"/>
    <col width="15" customWidth="1" min="17" max="17"/>
    <col width="18" customWidth="1" min="18" max="18"/>
    <col width="31" customWidth="1" min="19" max="19"/>
    <col width="22" customWidth="1" min="20" max="20"/>
    <col width="25" customWidth="1" min="21" max="21"/>
    <col width="38" customWidth="1" min="22" max="22"/>
    <col width="16" customWidth="1" min="23" max="23"/>
    <col width="19" customWidth="1" min="24" max="24"/>
    <col width="32" customWidth="1" min="25" max="25"/>
    <col width="18" customWidth="1" min="26" max="26"/>
    <col width="21" customWidth="1" min="27" max="27"/>
    <col width="34" customWidth="1" min="28" max="28"/>
    <col width="19" customWidth="1" min="29" max="29"/>
    <col width="19" customWidth="1" min="30" max="30"/>
    <col width="21" customWidth="1" min="31" max="31"/>
    <col width="22" customWidth="1" min="32" max="32"/>
    <col width="18" customWidth="1" min="33" max="33"/>
  </cols>
  <sheetData>
    <row r="1">
      <c r="A1" s="6" t="inlineStr">
        <is>
          <t>pos_order_id</t>
        </is>
      </c>
      <c r="B1" s="6" t="inlineStr">
        <is>
          <t>zomato_order_id</t>
        </is>
      </c>
      <c r="C1" s="6" t="inlineStr">
        <is>
          <t>store_name</t>
        </is>
      </c>
      <c r="D1" s="6" t="inlineStr">
        <is>
          <t>order_date</t>
        </is>
      </c>
      <c r="E1" s="6" t="inlineStr">
        <is>
          <t>pos_net_amount</t>
        </is>
      </c>
      <c r="F1" s="6" t="inlineStr">
        <is>
          <t>zomato_net_amount</t>
        </is>
      </c>
      <c r="G1" s="6" t="inlineStr">
        <is>
          <t>pos_vs_zomato_net_amount_delta</t>
        </is>
      </c>
      <c r="H1" s="6" t="inlineStr">
        <is>
          <t>pos_tax_paid_by_customer</t>
        </is>
      </c>
      <c r="I1" s="6" t="inlineStr">
        <is>
          <t>zomato_tax_paid_by_customer</t>
        </is>
      </c>
      <c r="J1" s="6" t="inlineStr">
        <is>
          <t>pos_vs_zomato_tax_paid_by_customer_delta</t>
        </is>
      </c>
      <c r="K1" s="6" t="inlineStr">
        <is>
          <t>pos_commission_value</t>
        </is>
      </c>
      <c r="L1" s="6" t="inlineStr">
        <is>
          <t>zomato_commission_value</t>
        </is>
      </c>
      <c r="M1" s="6" t="inlineStr">
        <is>
          <t>pos_vs_zomato_commission_value_delta</t>
        </is>
      </c>
      <c r="N1" s="6" t="inlineStr">
        <is>
          <t>pos_pg_applied_on</t>
        </is>
      </c>
      <c r="O1" s="6" t="inlineStr">
        <is>
          <t>zomato_pg_applied_on</t>
        </is>
      </c>
      <c r="P1" s="6" t="inlineStr">
        <is>
          <t>pos_vs_zomato_pg_applied_on_delta</t>
        </is>
      </c>
      <c r="Q1" s="6" t="inlineStr">
        <is>
          <t>pos_pg_charge</t>
        </is>
      </c>
      <c r="R1" s="6" t="inlineStr">
        <is>
          <t>zomato_pg_charge</t>
        </is>
      </c>
      <c r="S1" s="6" t="inlineStr">
        <is>
          <t>pos_vs_zomato_pg_charge_delta</t>
        </is>
      </c>
      <c r="T1" s="6" t="inlineStr">
        <is>
          <t>pos_taxes_zomato_fee</t>
        </is>
      </c>
      <c r="U1" s="6" t="inlineStr">
        <is>
          <t>zomato_taxes_zomato_fee</t>
        </is>
      </c>
      <c r="V1" s="6" t="inlineStr">
        <is>
          <t>pos_vs_zomato_taxes_zomato_fee_delta</t>
        </is>
      </c>
      <c r="W1" s="6" t="inlineStr">
        <is>
          <t>pos_tds_amount</t>
        </is>
      </c>
      <c r="X1" s="6" t="inlineStr">
        <is>
          <t>zomato_tds_amount</t>
        </is>
      </c>
      <c r="Y1" s="6" t="inlineStr">
        <is>
          <t>pos_vs_zomato_tds_amount_delta</t>
        </is>
      </c>
      <c r="Z1" s="6" t="inlineStr">
        <is>
          <t>pos_final_amount</t>
        </is>
      </c>
      <c r="AA1" s="6" t="inlineStr">
        <is>
          <t>zomato_final_amount</t>
        </is>
      </c>
      <c r="AB1" s="6" t="inlineStr">
        <is>
          <t>pos_vs_zomato_final_amount_delta</t>
        </is>
      </c>
      <c r="AC1" s="6" t="inlineStr">
        <is>
          <t>reconciled_status</t>
        </is>
      </c>
      <c r="AD1" s="6" t="inlineStr">
        <is>
          <t>reconciled_amount</t>
        </is>
      </c>
      <c r="AE1" s="6" t="inlineStr">
        <is>
          <t>unreconciled_amount</t>
        </is>
      </c>
      <c r="AF1" s="6" t="inlineStr">
        <is>
          <t>pos_vs_zomato_reason</t>
        </is>
      </c>
      <c r="AG1" s="6" t="inlineStr">
        <is>
          <t>order_status_pos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1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2" customWidth="1" min="3" max="3"/>
    <col width="12" customWidth="1" min="4" max="4"/>
    <col width="19" customWidth="1" min="5" max="5"/>
    <col width="16" customWidth="1" min="6" max="6"/>
    <col width="32" customWidth="1" min="7" max="7"/>
    <col width="29" customWidth="1" min="8" max="8"/>
    <col width="26" customWidth="1" min="9" max="9"/>
    <col width="42" customWidth="1" min="10" max="10"/>
    <col width="25" customWidth="1" min="11" max="11"/>
    <col width="22" customWidth="1" min="12" max="12"/>
    <col width="38" customWidth="1" min="13" max="13"/>
    <col width="22" customWidth="1" min="14" max="14"/>
    <col width="19" customWidth="1" min="15" max="15"/>
    <col width="35" customWidth="1" min="16" max="16"/>
    <col width="18" customWidth="1" min="17" max="17"/>
    <col width="15" customWidth="1" min="18" max="18"/>
    <col width="31" customWidth="1" min="19" max="19"/>
    <col width="25" customWidth="1" min="20" max="20"/>
    <col width="22" customWidth="1" min="21" max="21"/>
    <col width="38" customWidth="1" min="22" max="22"/>
    <col width="19" customWidth="1" min="23" max="23"/>
    <col width="16" customWidth="1" min="24" max="24"/>
    <col width="32" customWidth="1" min="25" max="25"/>
    <col width="21" customWidth="1" min="26" max="26"/>
    <col width="18" customWidth="1" min="27" max="27"/>
    <col width="34" customWidth="1" min="28" max="28"/>
    <col width="30" customWidth="1" min="29" max="29"/>
    <col width="40" customWidth="1" min="30" max="30"/>
    <col width="36" customWidth="1" min="31" max="31"/>
    <col width="33" customWidth="1" min="32" max="32"/>
    <col width="29" customWidth="1" min="33" max="33"/>
    <col width="36" customWidth="1" min="34" max="34"/>
    <col width="30" customWidth="1" min="35" max="35"/>
    <col width="32" customWidth="1" min="36" max="36"/>
    <col width="26" customWidth="1" min="37" max="37"/>
    <col width="32" customWidth="1" min="38" max="38"/>
    <col width="25" customWidth="1" min="39" max="39"/>
    <col width="32" customWidth="1" min="40" max="40"/>
    <col width="27" customWidth="1" min="41" max="41"/>
    <col width="26" customWidth="1" min="42" max="42"/>
    <col width="25" customWidth="1" min="43" max="43"/>
    <col width="27" customWidth="1" min="44" max="44"/>
    <col width="26" customWidth="1" min="45" max="45"/>
    <col width="32" customWidth="1" min="46" max="46"/>
    <col width="19" customWidth="1" min="47" max="47"/>
    <col width="19" customWidth="1" min="48" max="48"/>
    <col width="21" customWidth="1" min="49" max="49"/>
    <col width="22" customWidth="1" min="50" max="50"/>
    <col width="21" customWidth="1" min="51" max="51"/>
  </cols>
  <sheetData>
    <row r="1">
      <c r="A1" s="6" t="inlineStr">
        <is>
          <t>zomato_order_id</t>
        </is>
      </c>
      <c r="B1" s="6" t="inlineStr">
        <is>
          <t>pos_order_id</t>
        </is>
      </c>
      <c r="C1" s="6" t="inlineStr">
        <is>
          <t>order_date</t>
        </is>
      </c>
      <c r="D1" s="6" t="inlineStr">
        <is>
          <t>store_name</t>
        </is>
      </c>
      <c r="E1" s="6" t="inlineStr">
        <is>
          <t>zomato_net_amount</t>
        </is>
      </c>
      <c r="F1" s="6" t="inlineStr">
        <is>
          <t>pos_net_amount</t>
        </is>
      </c>
      <c r="G1" s="6" t="inlineStr">
        <is>
          <t>zomato_vs_pos_net_amount_delta</t>
        </is>
      </c>
      <c r="H1" s="6" t="inlineStr">
        <is>
          <t>zomato_tax_paid_by_customer</t>
        </is>
      </c>
      <c r="I1" s="6" t="inlineStr">
        <is>
          <t>pos_tax_paid_by_customer</t>
        </is>
      </c>
      <c r="J1" s="6" t="inlineStr">
        <is>
          <t>zomato_vs_pos_tax_paid_by_customer_delta</t>
        </is>
      </c>
      <c r="K1" s="6" t="inlineStr">
        <is>
          <t>zomato_commission_value</t>
        </is>
      </c>
      <c r="L1" s="6" t="inlineStr">
        <is>
          <t>pos_commission_value</t>
        </is>
      </c>
      <c r="M1" s="6" t="inlineStr">
        <is>
          <t>zomato_vs_pos_commission_value_delta</t>
        </is>
      </c>
      <c r="N1" s="6" t="inlineStr">
        <is>
          <t>zomato_pg_applied_on</t>
        </is>
      </c>
      <c r="O1" s="6" t="inlineStr">
        <is>
          <t>pos_pg_applied_on</t>
        </is>
      </c>
      <c r="P1" s="6" t="inlineStr">
        <is>
          <t>zomato_vs_pos_pg_applied_on_delta</t>
        </is>
      </c>
      <c r="Q1" s="6" t="inlineStr">
        <is>
          <t>zomato_pg_charge</t>
        </is>
      </c>
      <c r="R1" s="6" t="inlineStr">
        <is>
          <t>pos_pg_charge</t>
        </is>
      </c>
      <c r="S1" s="6" t="inlineStr">
        <is>
          <t>zomato_vs_pos_pg_charge_delta</t>
        </is>
      </c>
      <c r="T1" s="6" t="inlineStr">
        <is>
          <t>zomato_taxes_zomato_fee</t>
        </is>
      </c>
      <c r="U1" s="6" t="inlineStr">
        <is>
          <t>pos_taxes_zomato_fee</t>
        </is>
      </c>
      <c r="V1" s="6" t="inlineStr">
        <is>
          <t>zomato_vs_pos_taxes_zomato_fee_delta</t>
        </is>
      </c>
      <c r="W1" s="6" t="inlineStr">
        <is>
          <t>zomato_tds_amount</t>
        </is>
      </c>
      <c r="X1" s="6" t="inlineStr">
        <is>
          <t>pos_tds_amount</t>
        </is>
      </c>
      <c r="Y1" s="6" t="inlineStr">
        <is>
          <t>zomato_vs_pos_tds_amount_delta</t>
        </is>
      </c>
      <c r="Z1" s="6" t="inlineStr">
        <is>
          <t>zomato_final_amount</t>
        </is>
      </c>
      <c r="AA1" s="6" t="inlineStr">
        <is>
          <t>pos_final_amount</t>
        </is>
      </c>
      <c r="AB1" s="6" t="inlineStr">
        <is>
          <t>zomato_vs_pos_final_amount_delta</t>
        </is>
      </c>
      <c r="AC1" s="6" t="inlineStr">
        <is>
          <t>calculated_zomato_net_amount</t>
        </is>
      </c>
      <c r="AD1" s="6" t="inlineStr">
        <is>
          <t>calculated_zomato_tax_paid_by_customer</t>
        </is>
      </c>
      <c r="AE1" s="6" t="inlineStr">
        <is>
          <t>calculated_zomato_commission_value</t>
        </is>
      </c>
      <c r="AF1" s="6" t="inlineStr">
        <is>
          <t>calculated_zomato_pg_applied_on</t>
        </is>
      </c>
      <c r="AG1" s="6" t="inlineStr">
        <is>
          <t>calculated_zomato_pg_charge</t>
        </is>
      </c>
      <c r="AH1" s="6" t="inlineStr">
        <is>
          <t>calculated_zomato_taxes_zomato_fee</t>
        </is>
      </c>
      <c r="AI1" s="6" t="inlineStr">
        <is>
          <t>calculated_zomato_tds_amount</t>
        </is>
      </c>
      <c r="AJ1" s="6" t="inlineStr">
        <is>
          <t>calculated_zomato_final_amount</t>
        </is>
      </c>
      <c r="AK1" s="6" t="inlineStr">
        <is>
          <t>fixed_credit_note_amount</t>
        </is>
      </c>
      <c r="AL1" s="6" t="inlineStr">
        <is>
          <t>fixed_pro_discount_passthrough</t>
        </is>
      </c>
      <c r="AM1" s="6" t="inlineStr">
        <is>
          <t>fixed_customer_discount</t>
        </is>
      </c>
      <c r="AN1" s="6" t="inlineStr">
        <is>
          <t>fixed_rejection_penalty_charge</t>
        </is>
      </c>
      <c r="AO1" s="6" t="inlineStr">
        <is>
          <t>fixed_user_credits_charge</t>
        </is>
      </c>
      <c r="AP1" s="6" t="inlineStr">
        <is>
          <t>fixed_promo_recovery_adj</t>
        </is>
      </c>
      <c r="AQ1" s="6" t="inlineStr">
        <is>
          <t>fixed_icecream_handling</t>
        </is>
      </c>
      <c r="AR1" s="6" t="inlineStr">
        <is>
          <t>fixed_icecream_deductions</t>
        </is>
      </c>
      <c r="AS1" s="6" t="inlineStr">
        <is>
          <t>fixed_order_support_cost</t>
        </is>
      </c>
      <c r="AT1" s="6" t="inlineStr">
        <is>
          <t>fixed_merchant_delivery_charge</t>
        </is>
      </c>
      <c r="AU1" s="6" t="inlineStr">
        <is>
          <t>reconciled_status</t>
        </is>
      </c>
      <c r="AV1" s="6" t="inlineStr">
        <is>
          <t>reconciled_amount</t>
        </is>
      </c>
      <c r="AW1" s="6" t="inlineStr">
        <is>
          <t>unreconciled_amount</t>
        </is>
      </c>
      <c r="AX1" s="6" t="inlineStr">
        <is>
          <t>zomato_vs_pos_reason</t>
        </is>
      </c>
      <c r="AY1" s="6" t="inlineStr">
        <is>
          <t>order_status_zomato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19" customWidth="1" min="4" max="4"/>
    <col width="29" customWidth="1" min="5" max="5"/>
    <col width="25" customWidth="1" min="6" max="6"/>
    <col width="22" customWidth="1" min="7" max="7"/>
    <col width="18" customWidth="1" min="8" max="8"/>
    <col width="25" customWidth="1" min="9" max="9"/>
    <col width="19" customWidth="1" min="10" max="10"/>
    <col width="21" customWidth="1" min="11" max="11"/>
    <col width="30" customWidth="1" min="12" max="12"/>
    <col width="40" customWidth="1" min="13" max="13"/>
    <col width="36" customWidth="1" min="14" max="14"/>
    <col width="33" customWidth="1" min="15" max="15"/>
    <col width="29" customWidth="1" min="16" max="16"/>
    <col width="36" customWidth="1" min="17" max="17"/>
    <col width="30" customWidth="1" min="18" max="18"/>
    <col width="32" customWidth="1" min="19" max="19"/>
    <col width="26" customWidth="1" min="20" max="20"/>
    <col width="32" customWidth="1" min="21" max="21"/>
    <col width="25" customWidth="1" min="22" max="22"/>
    <col width="32" customWidth="1" min="23" max="23"/>
    <col width="27" customWidth="1" min="24" max="24"/>
    <col width="26" customWidth="1" min="25" max="25"/>
    <col width="25" customWidth="1" min="26" max="26"/>
    <col width="27" customWidth="1" min="27" max="27"/>
    <col width="26" customWidth="1" min="28" max="28"/>
    <col width="32" customWidth="1" min="29" max="29"/>
    <col width="19" customWidth="1" min="30" max="30"/>
    <col width="19" customWidth="1" min="31" max="31"/>
    <col width="21" customWidth="1" min="32" max="32"/>
    <col width="22" customWidth="1" min="33" max="33"/>
    <col width="21" customWidth="1" min="34" max="34"/>
  </cols>
  <sheetData>
    <row r="1">
      <c r="A1" s="6" t="inlineStr">
        <is>
          <t>zomato_order_id</t>
        </is>
      </c>
      <c r="B1" s="6" t="inlineStr">
        <is>
          <t>order_date</t>
        </is>
      </c>
      <c r="C1" s="6" t="inlineStr">
        <is>
          <t>store_name</t>
        </is>
      </c>
      <c r="D1" s="6" t="inlineStr">
        <is>
          <t>zomato_net_amount</t>
        </is>
      </c>
      <c r="E1" s="6" t="inlineStr">
        <is>
          <t>zomato_tax_paid_by_customer</t>
        </is>
      </c>
      <c r="F1" s="6" t="inlineStr">
        <is>
          <t>zomato_commission_value</t>
        </is>
      </c>
      <c r="G1" s="6" t="inlineStr">
        <is>
          <t>zomato_pg_applied_on</t>
        </is>
      </c>
      <c r="H1" s="6" t="inlineStr">
        <is>
          <t>zomato_pg_charge</t>
        </is>
      </c>
      <c r="I1" s="6" t="inlineStr">
        <is>
          <t>zomato_taxes_zomato_fee</t>
        </is>
      </c>
      <c r="J1" s="6" t="inlineStr">
        <is>
          <t>zomato_tds_amount</t>
        </is>
      </c>
      <c r="K1" s="6" t="inlineStr">
        <is>
          <t>zomato_final_amount</t>
        </is>
      </c>
      <c r="L1" s="6" t="inlineStr">
        <is>
          <t>calculated_zomato_net_amount</t>
        </is>
      </c>
      <c r="M1" s="6" t="inlineStr">
        <is>
          <t>calculated_zomato_tax_paid_by_customer</t>
        </is>
      </c>
      <c r="N1" s="6" t="inlineStr">
        <is>
          <t>calculated_zomato_commission_value</t>
        </is>
      </c>
      <c r="O1" s="6" t="inlineStr">
        <is>
          <t>calculated_zomato_pg_applied_on</t>
        </is>
      </c>
      <c r="P1" s="6" t="inlineStr">
        <is>
          <t>calculated_zomato_pg_charge</t>
        </is>
      </c>
      <c r="Q1" s="6" t="inlineStr">
        <is>
          <t>calculated_zomato_taxes_zomato_fee</t>
        </is>
      </c>
      <c r="R1" s="6" t="inlineStr">
        <is>
          <t>calculated_zomato_tds_amount</t>
        </is>
      </c>
      <c r="S1" s="6" t="inlineStr">
        <is>
          <t>calculated_zomato_final_amount</t>
        </is>
      </c>
      <c r="T1" s="6" t="inlineStr">
        <is>
          <t>fixed_credit_note_amount</t>
        </is>
      </c>
      <c r="U1" s="6" t="inlineStr">
        <is>
          <t>fixed_pro_discount_passthrough</t>
        </is>
      </c>
      <c r="V1" s="6" t="inlineStr">
        <is>
          <t>fixed_customer_discount</t>
        </is>
      </c>
      <c r="W1" s="6" t="inlineStr">
        <is>
          <t>fixed_rejection_penalty_charge</t>
        </is>
      </c>
      <c r="X1" s="6" t="inlineStr">
        <is>
          <t>fixed_user_credits_charge</t>
        </is>
      </c>
      <c r="Y1" s="6" t="inlineStr">
        <is>
          <t>fixed_promo_recovery_adj</t>
        </is>
      </c>
      <c r="Z1" s="6" t="inlineStr">
        <is>
          <t>fixed_icecream_handling</t>
        </is>
      </c>
      <c r="AA1" s="6" t="inlineStr">
        <is>
          <t>fixed_icecream_deductions</t>
        </is>
      </c>
      <c r="AB1" s="6" t="inlineStr">
        <is>
          <t>fixed_order_support_cost</t>
        </is>
      </c>
      <c r="AC1" s="6" t="inlineStr">
        <is>
          <t>fixed_merchant_delivery_charge</t>
        </is>
      </c>
      <c r="AD1" s="6" t="inlineStr">
        <is>
          <t>reconciled_status</t>
        </is>
      </c>
      <c r="AE1" s="6" t="inlineStr">
        <is>
          <t>reconciled_amount</t>
        </is>
      </c>
      <c r="AF1" s="6" t="inlineStr">
        <is>
          <t>unreconciled_amount</t>
        </is>
      </c>
      <c r="AG1" s="6" t="inlineStr">
        <is>
          <t>zomato_vs_pos_reason</t>
        </is>
      </c>
      <c r="AH1" s="6" t="inlineStr">
        <is>
          <t>order_status_zomato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6" customWidth="1" min="4" max="4"/>
    <col width="26" customWidth="1" min="5" max="5"/>
    <col width="22" customWidth="1" min="6" max="6"/>
    <col width="19" customWidth="1" min="7" max="7"/>
    <col width="15" customWidth="1" min="8" max="8"/>
    <col width="22" customWidth="1" min="9" max="9"/>
    <col width="16" customWidth="1" min="10" max="10"/>
    <col width="18" customWidth="1" min="11" max="11"/>
    <col width="19" customWidth="1" min="12" max="12"/>
    <col width="19" customWidth="1" min="13" max="13"/>
    <col width="21" customWidth="1" min="14" max="14"/>
    <col width="22" customWidth="1" min="15" max="15"/>
    <col width="18" customWidth="1" min="16" max="16"/>
  </cols>
  <sheetData>
    <row r="1">
      <c r="A1" s="6" t="inlineStr">
        <is>
          <t>pos_order_id</t>
        </is>
      </c>
      <c r="B1" s="6" t="inlineStr">
        <is>
          <t>store_name</t>
        </is>
      </c>
      <c r="C1" s="6" t="inlineStr">
        <is>
          <t>order_date</t>
        </is>
      </c>
      <c r="D1" s="6" t="inlineStr">
        <is>
          <t>pos_net_amount</t>
        </is>
      </c>
      <c r="E1" s="6" t="inlineStr">
        <is>
          <t>pos_tax_paid_by_customer</t>
        </is>
      </c>
      <c r="F1" s="6" t="inlineStr">
        <is>
          <t>pos_commission_value</t>
        </is>
      </c>
      <c r="G1" s="6" t="inlineStr">
        <is>
          <t>pos_pg_applied_on</t>
        </is>
      </c>
      <c r="H1" s="6" t="inlineStr">
        <is>
          <t>pos_pg_charge</t>
        </is>
      </c>
      <c r="I1" s="6" t="inlineStr">
        <is>
          <t>pos_taxes_zomato_fee</t>
        </is>
      </c>
      <c r="J1" s="6" t="inlineStr">
        <is>
          <t>pos_tds_amount</t>
        </is>
      </c>
      <c r="K1" s="6" t="inlineStr">
        <is>
          <t>pos_final_amount</t>
        </is>
      </c>
      <c r="L1" s="6" t="inlineStr">
        <is>
          <t>reconciled_status</t>
        </is>
      </c>
      <c r="M1" s="6" t="inlineStr">
        <is>
          <t>reconciled_amount</t>
        </is>
      </c>
      <c r="N1" s="6" t="inlineStr">
        <is>
          <t>unreconciled_amount</t>
        </is>
      </c>
      <c r="O1" s="6" t="inlineStr">
        <is>
          <t>pos_vs_zomato_reason</t>
        </is>
      </c>
      <c r="P1" s="6" t="inlineStr">
        <is>
          <t>order_status_pos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2025-11-04T15:59:50Z</dcterms:created>
  <dcterms:modified xsi:type="dcterms:W3CDTF">2025-11-04T15:59:50Z</dcterms:modified>
</cp:coreProperties>
</file>